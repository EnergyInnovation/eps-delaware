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VS\"/>
    </mc:Choice>
  </mc:AlternateContent>
  <xr:revisionPtr revIDLastSave="0" documentId="8_{7D8FA049-E02B-4106-B0B1-68E0F43A0C03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M63" i="2" l="1"/>
  <c r="M68" i="2" s="1"/>
  <c r="L2" i="5" s="1"/>
  <c r="L8" i="5" s="1"/>
  <c r="N63" i="2"/>
  <c r="N68" i="2" s="1"/>
  <c r="M2" i="5" s="1"/>
  <c r="M8" i="5" s="1"/>
  <c r="P63" i="2"/>
  <c r="P68" i="2" s="1"/>
  <c r="O2" i="5" s="1"/>
  <c r="O8" i="5" s="1"/>
  <c r="X64" i="2"/>
  <c r="X69" i="2" s="1"/>
  <c r="W6" i="5" s="1"/>
  <c r="Y64" i="2"/>
  <c r="Y69" i="2" s="1"/>
  <c r="X6" i="5" s="1"/>
  <c r="Z64" i="2"/>
  <c r="Z69" i="2" s="1"/>
  <c r="Y6" i="5" s="1"/>
  <c r="O63" i="2"/>
  <c r="O68" i="2" s="1"/>
  <c r="N2" i="5" s="1"/>
  <c r="N8" i="5" s="1"/>
  <c r="AC64" i="2"/>
  <c r="AC69" i="2" s="1"/>
  <c r="AB6" i="5" s="1"/>
  <c r="AD64" i="2"/>
  <c r="AD69" i="2" s="1"/>
  <c r="AC6" i="5" s="1"/>
  <c r="AD63" i="2"/>
  <c r="AD68" i="2" s="1"/>
  <c r="AC2" i="5" s="1"/>
  <c r="AC8" i="5" s="1"/>
  <c r="AF63" i="2"/>
  <c r="AF68" i="2" s="1"/>
  <c r="AE2" i="5" s="1"/>
  <c r="AE8" i="5" s="1"/>
  <c r="D64" i="2"/>
  <c r="D69" i="2" s="1"/>
  <c r="C6" i="5" s="1"/>
  <c r="E64" i="2"/>
  <c r="E69" i="2" s="1"/>
  <c r="D6" i="5" s="1"/>
  <c r="H63" i="2"/>
  <c r="H68" i="2" s="1"/>
  <c r="G2" i="5" s="1"/>
  <c r="G8" i="5" s="1"/>
  <c r="J64" i="2"/>
  <c r="J69" i="2" s="1"/>
  <c r="I6" i="5" s="1"/>
  <c r="AB64" i="2"/>
  <c r="AB69" i="2" s="1"/>
  <c r="AA6" i="5" s="1"/>
  <c r="R63" i="2"/>
  <c r="R68" i="2" s="1"/>
  <c r="Q2" i="5" s="1"/>
  <c r="Q8" i="5" s="1"/>
  <c r="AE64" i="2"/>
  <c r="AE69" i="2" s="1"/>
  <c r="AD6" i="5" s="1"/>
  <c r="C64" i="2"/>
  <c r="C69" i="2" s="1"/>
  <c r="B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I63" i="2"/>
  <c r="I68" i="2" s="1"/>
  <c r="H2" i="5" s="1"/>
  <c r="H8" i="5" s="1"/>
  <c r="L64" i="2"/>
  <c r="L69" i="2" s="1"/>
  <c r="K6" i="5" s="1"/>
  <c r="L63" i="2"/>
  <c r="L68" i="2" s="1"/>
  <c r="K2" i="5" s="1"/>
  <c r="K8" i="5" s="1"/>
  <c r="AA64" i="2"/>
  <c r="AA69" i="2" s="1"/>
  <c r="Z6" i="5" s="1"/>
  <c r="Q63" i="2"/>
  <c r="Q68" i="2" s="1"/>
  <c r="P2" i="5" s="1"/>
  <c r="P8" i="5" s="1"/>
  <c r="S63" i="2"/>
  <c r="S68" i="2" s="1"/>
  <c r="R2" i="5" s="1"/>
  <c r="R8" i="5" s="1"/>
  <c r="T63" i="2"/>
  <c r="T68" i="2" s="1"/>
  <c r="S2" i="5" s="1"/>
  <c r="S8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<sst xmlns="http://schemas.openxmlformats.org/spreadsheetml/2006/main" count="491" uniqueCount="240">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</sst>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51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DE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2118.2599999999998</v>
      </c>
      <c r="D63" s="5">
        <f>SUMIFS('State EV Rebates'!$D$5:$D$24,'State EV Rebates'!$A$5:$A$24,About!$B$2)*$M$79</f>
        <v>1961.3025</v>
      </c>
      <c r="E63" s="5">
        <f>SUMIFS('State EV Rebates'!$E$5:$E$24,'State EV Rebates'!$A$5:$A$24,About!$B$2)*$N$79</f>
        <v>1883.7575000000002</v>
      </c>
      <c r="F63" s="5">
        <f>SUMIFS('State EV Rebates'!$F$5:$F$24,'State EV Rebates'!$A$5:$A$24,About!$B$2)*$O$79</f>
        <v>1829.79</v>
      </c>
      <c r="G63" s="5">
        <f>SUMIFS('State EV Rebates'!$G$5:$G$24,'State EV Rebates'!$A$5:$A$24,About!$B$2)*$P$79</f>
        <v>1782.5625</v>
      </c>
      <c r="H63" s="5">
        <f>SUMIFS('State EV Rebates'!$H$5:$H$24,'State EV Rebates'!$A$5:$A$24,About!$B$2)*$Q$79</f>
        <v>1712.8774999999998</v>
      </c>
      <c r="I63" s="5">
        <f>SUMIFS('State EV Rebates'!$I$5:$I$24,'State EV Rebates'!$A$5:$A$24,About!$B$2)*$R$79</f>
        <v>1666.2225000000001</v>
      </c>
      <c r="J63" s="5">
        <f>SUMIFS('State EV Rebates'!$J$5:$J$24,'State EV Rebates'!$A$5:$A$24,About!$B$2)*$S$79</f>
        <v>1620.8349999999998</v>
      </c>
      <c r="K63" s="5">
        <f>SUMIFS('State EV Rebates'!$K$5:$K$24,'State EV Rebates'!$A$5:$A$24,About!$B$2)*$T$79</f>
        <v>1576.6875</v>
      </c>
      <c r="L63" s="5">
        <f>SUMIFS('State EV Rebates'!$L$5:$L$24,'State EV Rebates'!$A$5:$A$24,About!$B$2)*$U$79</f>
        <v>1533.7424999999998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847.30399999999997</v>
      </c>
      <c r="D64" s="5">
        <f>SUMIFS('State EV Rebates'!$D$28:$D$47,'State EV Rebates'!$A$28:$A$47,About!$B$2)*$M$79</f>
        <v>784.52100000000007</v>
      </c>
      <c r="E64" s="5">
        <f>SUMIFS('State EV Rebates'!$E$28:$E$47,'State EV Rebates'!$A$28:$A$47,About!$B$2)*$N$79</f>
        <v>753.50300000000004</v>
      </c>
      <c r="F64" s="5">
        <f>SUMIFS('State EV Rebates'!$F$28:$F$47,'State EV Rebates'!$A$28:$A$47,About!$B$2)*$O$79</f>
        <v>731.91600000000005</v>
      </c>
      <c r="G64" s="5">
        <f>SUMIFS('State EV Rebates'!$G$28:$G$47,'State EV Rebates'!$A$28:$A$47,About!$B$2)*$P$79</f>
        <v>713.02499999999998</v>
      </c>
      <c r="H64" s="5">
        <f>SUMIFS('State EV Rebates'!$H$28:$H$47,'State EV Rebates'!$A$28:$A$47,About!$B$2)*$Q$79</f>
        <v>685.15099999999995</v>
      </c>
      <c r="I64" s="5">
        <f>SUMIFS('State EV Rebates'!$I$28:$I$47,'State EV Rebates'!$A$28:$A$47,About!$B$2)*$R$79</f>
        <v>666.48900000000003</v>
      </c>
      <c r="J64" s="5">
        <f>SUMIFS('State EV Rebates'!$J$28:$J$47,'State EV Rebates'!$A$28:$A$47,About!$B$2)*$S$79</f>
        <v>648.33399999999995</v>
      </c>
      <c r="K64" s="5">
        <f>SUMIFS('State EV Rebates'!$K$28:$K$47,'State EV Rebates'!$A$28:$A$47,About!$B$2)*$T$79</f>
        <v>630.67499999999995</v>
      </c>
      <c r="L64" s="5">
        <f>SUMIFS('State EV Rebates'!$L$28:$L$47,'State EV Rebates'!$A$28:$A$47,About!$B$2)*$U$79</f>
        <v>613.49699999999996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3764.7581124797289</v>
      </c>
      <c r="D68" s="5">
        <f t="shared" si="0"/>
        <v>3329.8882570401329</v>
      </c>
      <c r="E68" s="5">
        <f t="shared" si="0"/>
        <v>6679.7211566176629</v>
      </c>
      <c r="F68" s="5">
        <f t="shared" si="0"/>
        <v>5385.277701851609</v>
      </c>
      <c r="G68" s="5">
        <f t="shared" si="0"/>
        <v>4306.8282550587355</v>
      </c>
      <c r="H68" s="5">
        <f t="shared" si="0"/>
        <v>1712.8774999999998</v>
      </c>
      <c r="I68" s="5">
        <f t="shared" si="0"/>
        <v>1666.2225000000001</v>
      </c>
      <c r="J68" s="5">
        <f t="shared" si="0"/>
        <v>1620.8349999999998</v>
      </c>
      <c r="K68" s="5">
        <f t="shared" si="0"/>
        <v>1576.6875</v>
      </c>
      <c r="L68" s="5">
        <f t="shared" si="0"/>
        <v>1533.7424999999998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7500.0225168992283</v>
      </c>
      <c r="D69" s="5">
        <f t="shared" si="1"/>
        <v>4401.5716929789032</v>
      </c>
      <c r="E69" s="5">
        <f t="shared" si="1"/>
        <v>4234.7013222883343</v>
      </c>
      <c r="F69" s="5">
        <f t="shared" si="1"/>
        <v>3578.4383385773731</v>
      </c>
      <c r="G69" s="5">
        <f t="shared" si="1"/>
        <v>2510.1874892476912</v>
      </c>
      <c r="H69" s="5">
        <f t="shared" si="1"/>
        <v>685.15099999999995</v>
      </c>
      <c r="I69" s="5">
        <f t="shared" si="1"/>
        <v>666.48900000000003</v>
      </c>
      <c r="J69" s="5">
        <f t="shared" si="1"/>
        <v>648.33399999999995</v>
      </c>
      <c r="K69" s="5">
        <f t="shared" si="1"/>
        <v>630.67499999999995</v>
      </c>
      <c r="L69" s="5">
        <f t="shared" si="1"/>
        <v>613.49699999999996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3764.7581124797289</v>
      </c>
      <c r="C2" s="17">
        <f>'Passenger Vehicle Calculations'!D68</f>
        <v>3329.8882570401329</v>
      </c>
      <c r="D2" s="17">
        <f>'Passenger Vehicle Calculations'!E68</f>
        <v>6679.7211566176629</v>
      </c>
      <c r="E2" s="17">
        <f>'Passenger Vehicle Calculations'!F68</f>
        <v>5385.277701851609</v>
      </c>
      <c r="F2" s="17">
        <f>'Passenger Vehicle Calculations'!G68</f>
        <v>4306.8282550587355</v>
      </c>
      <c r="G2" s="17">
        <f>'Passenger Vehicle Calculations'!H68</f>
        <v>1712.8774999999998</v>
      </c>
      <c r="H2" s="17">
        <f>'Passenger Vehicle Calculations'!I68</f>
        <v>1666.2225000000001</v>
      </c>
      <c r="I2" s="17">
        <f>'Passenger Vehicle Calculations'!J68</f>
        <v>1620.8349999999998</v>
      </c>
      <c r="J2" s="17">
        <f>'Passenger Vehicle Calculations'!K68</f>
        <v>1576.6875</v>
      </c>
      <c r="K2" s="17">
        <f>'Passenger Vehicle Calculations'!L68</f>
        <v>1533.7424999999998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7500.0225168992283</v>
      </c>
      <c r="C6" s="17">
        <f>'Passenger Vehicle Calculations'!D69</f>
        <v>4401.5716929789032</v>
      </c>
      <c r="D6" s="17">
        <f>'Passenger Vehicle Calculations'!E69</f>
        <v>4234.7013222883343</v>
      </c>
      <c r="E6" s="17">
        <f>'Passenger Vehicle Calculations'!F69</f>
        <v>3578.4383385773731</v>
      </c>
      <c r="F6" s="17">
        <f>'Passenger Vehicle Calculations'!G69</f>
        <v>2510.1874892476912</v>
      </c>
      <c r="G6" s="17">
        <f>'Passenger Vehicle Calculations'!H69</f>
        <v>685.15099999999995</v>
      </c>
      <c r="H6" s="17">
        <f>'Passenger Vehicle Calculations'!I69</f>
        <v>666.48900000000003</v>
      </c>
      <c r="I6" s="17">
        <f>'Passenger Vehicle Calculations'!J69</f>
        <v>648.33399999999995</v>
      </c>
      <c r="J6" s="17">
        <f>'Passenger Vehicle Calculations'!K69</f>
        <v>630.67499999999995</v>
      </c>
      <c r="K6" s="17">
        <f>'Passenger Vehicle Calculations'!L69</f>
        <v>613.49699999999996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6679.7211566176629</v>
      </c>
      <c r="E8" s="17">
        <f t="shared" si="0"/>
        <v>5385.277701851609</v>
      </c>
      <c r="F8" s="17">
        <f t="shared" si="0"/>
        <v>4306.8282550587355</v>
      </c>
      <c r="G8" s="17">
        <f t="shared" si="0"/>
        <v>1712.8774999999998</v>
      </c>
      <c r="H8" s="17">
        <f t="shared" si="0"/>
        <v>1666.2225000000001</v>
      </c>
      <c r="I8" s="17">
        <f t="shared" si="0"/>
        <v>1620.8349999999998</v>
      </c>
      <c r="J8" s="17">
        <f t="shared" si="0"/>
        <v>1576.6875</v>
      </c>
      <c r="K8" s="17">
        <f t="shared" si="0"/>
        <v>1533.7424999999998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2026-09-09T22:14:11Z</dcterms:modified>
</cp:coreProperties>
</file>