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AADTbVT\"/>
    </mc:Choice>
  </mc:AlternateContent>
  <xr:revisionPtr revIDLastSave="0" documentId="8_{EBECD218-A51C-41D5-8DE7-EF6ED7853012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<sst xmlns="http://schemas.openxmlformats.org/spreadsheetml/2006/main" count="47076" uniqueCount="1879">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</sst>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86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DE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11398000000000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10046000000000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60912000000000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286000000000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55982302475078.805</v>
      </c>
      <c r="F21" s="26">
        <f t="shared" ref="F21" si="0">IFERROR(F101*F117*F132/F86,0)</f>
        <v>197112421102.78934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148272658976.6644</v>
      </c>
      <c r="F22" s="33">
        <f t="shared" si="1"/>
        <v>969951493824.48096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0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815044998749.02039</v>
      </c>
      <c r="F25" s="93">
        <f t="shared" si="1"/>
        <v>192204779437.76154</v>
      </c>
      <c r="G25" s="22"/>
    </row>
    <row r="26" spans="2:9">
      <c r="D26" s="23" t="s">
        <v>43</v>
      </c>
      <c r="E26" s="28">
        <f t="shared" si="1"/>
        <v>59195952557.059441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4452647645059.6006</v>
      </c>
      <c r="F27" s="29">
        <f t="shared" si="1"/>
        <v>5108868783068.9033</v>
      </c>
      <c r="G27" s="20"/>
    </row>
    <row r="28" spans="2:9">
      <c r="D28" s="21" t="s">
        <v>50</v>
      </c>
      <c r="E28" s="33">
        <f t="shared" si="1"/>
        <v>14099080352.239973</v>
      </c>
      <c r="F28" s="33">
        <f t="shared" si="1"/>
        <v>13715200380314.873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372457711702.68921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61471562810773.398</v>
      </c>
      <c r="F32" s="95">
        <f t="shared" ref="F32:G32" si="2">SUM(F21:F31)</f>
        <v>20555795569451.496</v>
      </c>
      <c r="G32" s="95">
        <f t="shared" si="2"/>
        <v>0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0.91070244378539611</v>
      </c>
      <c r="F37" s="97">
        <f t="shared" ref="F37:G37" si="3">F21/F$32</f>
        <v>9.5891409523318691E-3</v>
      </c>
      <c r="G37" s="98" t="e">
        <f t="shared" si="3"/>
        <v>#DIV/0!</v>
      </c>
    </row>
    <row r="38" spans="3:41">
      <c r="D38" s="21" t="s">
        <v>51</v>
      </c>
      <c r="E38" s="37">
        <f t="shared" ref="E38:E47" si="4">E22/E$32</f>
        <v>2.4120528614684643E-3</v>
      </c>
      <c r="F38" s="113">
        <f t="shared" ref="F38:G47" si="5">F22/F$32</f>
        <v>4.7186278465716561E-2</v>
      </c>
      <c r="G38" s="99" t="e">
        <f t="shared" si="5"/>
        <v>#DIV/0!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 t="e">
        <f t="shared" si="5"/>
        <v>#DIV/0!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 t="e">
        <f t="shared" si="5"/>
        <v>#DIV/0!</v>
      </c>
    </row>
    <row r="41" spans="3:41">
      <c r="D41" s="21" t="s">
        <v>53</v>
      </c>
      <c r="E41" s="113">
        <f t="shared" si="4"/>
        <v>1.3258895031804479E-2</v>
      </c>
      <c r="F41" s="37">
        <f t="shared" si="5"/>
        <v>9.3503936049744562E-3</v>
      </c>
      <c r="G41" s="99" t="e">
        <f t="shared" si="5"/>
        <v>#DIV/0!</v>
      </c>
    </row>
    <row r="42" spans="3:41">
      <c r="D42" s="23" t="s">
        <v>43</v>
      </c>
      <c r="E42" s="116">
        <f t="shared" si="4"/>
        <v>9.6298108995993936E-4</v>
      </c>
      <c r="F42" s="100">
        <f t="shared" si="5"/>
        <v>0</v>
      </c>
      <c r="G42" s="101" t="e">
        <f t="shared" si="5"/>
        <v>#DIV/0!</v>
      </c>
    </row>
    <row r="43" spans="3:41">
      <c r="D43" s="19" t="s">
        <v>49</v>
      </c>
      <c r="E43" s="112">
        <f t="shared" si="4"/>
        <v>7.2434267838058564E-2</v>
      </c>
      <c r="F43" s="97">
        <f t="shared" si="5"/>
        <v>0.24853666041811229</v>
      </c>
      <c r="G43" s="98" t="e">
        <f t="shared" si="5"/>
        <v>#DIV/0!</v>
      </c>
    </row>
    <row r="44" spans="3:41">
      <c r="D44" s="21" t="s">
        <v>50</v>
      </c>
      <c r="E44" s="37">
        <f t="shared" si="4"/>
        <v>2.2935939331233325E-4</v>
      </c>
      <c r="F44" s="113">
        <f t="shared" si="5"/>
        <v>0.66721817377369674</v>
      </c>
      <c r="G44" s="99" t="e">
        <f t="shared" si="5"/>
        <v>#DIV/0!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 t="e">
        <f t="shared" si="5"/>
        <v>#DIV/0!</v>
      </c>
    </row>
    <row r="46" spans="3:41">
      <c r="D46" s="21" t="s">
        <v>55</v>
      </c>
      <c r="E46" s="37">
        <f t="shared" si="4"/>
        <v>0</v>
      </c>
      <c r="F46" s="113">
        <f t="shared" si="5"/>
        <v>1.8119352785168203E-2</v>
      </c>
      <c r="G46" s="99" t="e">
        <f t="shared" si="5"/>
        <v>#DIV/0!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 t="e">
        <f t="shared" si="5"/>
        <v>#DIV/0!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1.0000000000000002</v>
      </c>
      <c r="G48" s="96" t="e">
        <f t="shared" si="6"/>
        <v>#DIV/0!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55472707255856.047</v>
      </c>
      <c r="F53" s="92">
        <f>F37*$E$12</f>
        <v>96332510007.125961</v>
      </c>
      <c r="G53" s="102" t="e">
        <f>G37*$E$11</f>
        <v>#DIV/0!</v>
      </c>
    </row>
    <row r="54" spans="3:41">
      <c r="D54" s="21" t="s">
        <v>51</v>
      </c>
      <c r="E54" s="103">
        <f t="shared" ref="E54:E63" si="7">E38*$E$13</f>
        <v>146922963897.76709</v>
      </c>
      <c r="F54" s="103">
        <f t="shared" ref="F54:F62" si="8">F38*$E$12</f>
        <v>474033353466.58856</v>
      </c>
      <c r="G54" s="104" t="e">
        <f t="shared" ref="G54:G63" si="9">G38*$E$11</f>
        <v>#DIV/0!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 t="e">
        <f t="shared" si="9"/>
        <v>#DIV/0!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 t="e">
        <f t="shared" si="9"/>
        <v>#DIV/0!</v>
      </c>
    </row>
    <row r="57" spans="3:41">
      <c r="D57" s="21" t="s">
        <v>53</v>
      </c>
      <c r="E57" s="103">
        <f t="shared" si="7"/>
        <v>807625814177.27441</v>
      </c>
      <c r="F57" s="103">
        <f t="shared" si="8"/>
        <v>93934054155.57338</v>
      </c>
      <c r="G57" s="104" t="e">
        <f t="shared" si="9"/>
        <v>#DIV/0!</v>
      </c>
      <c r="K57" s="37"/>
    </row>
    <row r="58" spans="3:41">
      <c r="D58" s="23" t="s">
        <v>43</v>
      </c>
      <c r="E58" s="105">
        <f t="shared" si="7"/>
        <v>58657104151.639824</v>
      </c>
      <c r="F58" s="105">
        <f t="shared" si="8"/>
        <v>0</v>
      </c>
      <c r="G58" s="106" t="e">
        <f t="shared" si="9"/>
        <v>#DIV/0!</v>
      </c>
      <c r="K58" s="37"/>
    </row>
    <row r="59" spans="3:41">
      <c r="D59" s="19" t="s">
        <v>49</v>
      </c>
      <c r="E59" s="92">
        <f t="shared" si="7"/>
        <v>4412116122551.8232</v>
      </c>
      <c r="F59" s="92">
        <f t="shared" si="8"/>
        <v>2496799290560.356</v>
      </c>
      <c r="G59" s="102" t="e">
        <f t="shared" si="9"/>
        <v>#DIV/0!</v>
      </c>
    </row>
    <row r="60" spans="3:41">
      <c r="D60" s="21" t="s">
        <v>50</v>
      </c>
      <c r="E60" s="103">
        <f t="shared" si="7"/>
        <v>13970739365.440844</v>
      </c>
      <c r="F60" s="103">
        <f t="shared" si="8"/>
        <v>6702873773730.5576</v>
      </c>
      <c r="G60" s="104" t="e">
        <f t="shared" si="9"/>
        <v>#DIV/0!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 t="e">
        <f t="shared" si="9"/>
        <v>#DIV/0!</v>
      </c>
    </row>
    <row r="62" spans="3:41">
      <c r="D62" s="21" t="s">
        <v>55</v>
      </c>
      <c r="E62" s="103">
        <f t="shared" si="7"/>
        <v>0</v>
      </c>
      <c r="F62" s="103">
        <f t="shared" si="8"/>
        <v>182027018079.79977</v>
      </c>
      <c r="G62" s="104" t="e">
        <f t="shared" si="9"/>
        <v>#DIV/0!</v>
      </c>
    </row>
    <row r="63" spans="3:41">
      <c r="D63" s="23" t="s">
        <v>56</v>
      </c>
      <c r="E63" s="105">
        <f t="shared" si="7"/>
        <v>0</v>
      </c>
      <c r="F63" s="138">
        <f>F47*$E$12+E14</f>
        <v>286000000000</v>
      </c>
      <c r="G63" s="106" t="e">
        <f t="shared" si="9"/>
        <v>#DIV/0!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10519.364766933673</v>
      </c>
      <c r="F69" s="107">
        <f t="shared" si="10"/>
        <v>5188.2368473489232</v>
      </c>
      <c r="G69" s="108">
        <f t="shared" si="10"/>
        <v>0</v>
      </c>
    </row>
    <row r="70" spans="2:41">
      <c r="D70" s="21" t="s">
        <v>51</v>
      </c>
      <c r="E70" s="78">
        <f t="shared" si="10"/>
        <v>16528.165440133169</v>
      </c>
      <c r="F70" s="120">
        <f t="shared" si="10"/>
        <v>8151.8265461360261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0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192.23405847636897</v>
      </c>
      <c r="F73" s="78">
        <f t="shared" si="10"/>
        <v>94.811411867529301</v>
      </c>
      <c r="G73" s="109">
        <f t="shared" si="10"/>
        <v>0</v>
      </c>
    </row>
    <row r="74" spans="2:41">
      <c r="D74" s="23" t="s">
        <v>43</v>
      </c>
      <c r="E74" s="122">
        <f t="shared" si="10"/>
        <v>2073.9478576857741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9493.7861559901594</v>
      </c>
      <c r="F75" s="107">
        <f t="shared" si="10"/>
        <v>4682.4130778494764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33139.566245792186</v>
      </c>
      <c r="F76" s="120">
        <f t="shared" si="10"/>
        <v>16344.705456173457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9041.7831492843288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1007424</v>
      </c>
      <c r="F101" s="76">
        <f>SUMIFS('all_csv_SYVbT-passenger'!F:F,'all_csv_SYVbT-passenger'!$B:$B,$D101,'all_csv_SYVbT-passenger'!$J:$J,About!$B$2)</f>
        <v>4291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384</v>
      </c>
      <c r="F102" s="78">
        <f>SUMIFS('all_csv_SYVbT-passenger'!F:F,'all_csv_SYVbT-passenger'!$B:$B,$D102,'all_csv_SYVbT-passenger'!$J:$J,About!$B$2)</f>
        <v>2903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0</v>
      </c>
      <c r="G103" s="79">
        <f>F103</f>
        <v>0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52913</v>
      </c>
      <c r="F105" s="78">
        <f>SUMIFS('all_csv_SYVbT-passenger'!F:F,'all_csv_SYVbT-passenger'!$B:$B,$D105,'all_csv_SYVbT-passenger'!$J:$J,About!$B$2)</f>
        <v>12478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31945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44715</v>
      </c>
      <c r="F107" s="76">
        <f>SUMIFS('all_csv_SYVbT-freight'!F:F,'all_csv_SYVbT-freight'!$B:$B,$D107,'all_csv_SYVbT-freight'!$J:$J,About!$B$2)</f>
        <v>36497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172</v>
      </c>
      <c r="F108" s="78">
        <f>SUMIFS('all_csv_SYVbT-freight'!F:F,'all_csv_SYVbT-freight'!$B:$B,$D108,'all_csv_SYVbT-freight'!$J:$J,About!$B$2)</f>
        <v>17773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20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55472707255856.039</v>
      </c>
      <c r="F149" s="26">
        <f t="shared" si="18"/>
        <v>96332510007.125946</v>
      </c>
      <c r="G149" s="20"/>
    </row>
    <row r="150" spans="2:7">
      <c r="D150" s="21" t="s">
        <v>51</v>
      </c>
      <c r="E150" s="33">
        <f t="shared" si="18"/>
        <v>146922963897.76709</v>
      </c>
      <c r="F150" s="33">
        <f t="shared" si="18"/>
        <v>474033353466.58856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807625814177.27441</v>
      </c>
      <c r="F153" s="93">
        <f t="shared" si="18"/>
        <v>93934054155.57338</v>
      </c>
      <c r="G153" s="22"/>
    </row>
    <row r="154" spans="2:7">
      <c r="D154" s="23" t="s">
        <v>43</v>
      </c>
      <c r="E154" s="28">
        <f t="shared" si="18"/>
        <v>58657104151.639816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4412116122551.8232</v>
      </c>
      <c r="F155" s="29">
        <f t="shared" si="18"/>
        <v>2496799290560.356</v>
      </c>
      <c r="G155" s="20"/>
    </row>
    <row r="156" spans="2:7">
      <c r="D156" s="21" t="s">
        <v>50</v>
      </c>
      <c r="E156" s="33">
        <f t="shared" si="18"/>
        <v>13970739365.440844</v>
      </c>
      <c r="F156" s="33">
        <f t="shared" si="18"/>
        <v>6702873773730.5576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182027018079.7998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60911999999999.977</v>
      </c>
      <c r="F160" s="95">
        <f>SUM(F149:F159)</f>
        <v>10046000000000</v>
      </c>
      <c r="G160" s="95">
        <f t="shared" ref="G160" si="19">SUM(G149:G159)</f>
        <v>0</v>
      </c>
    </row>
    <row r="161" spans="5:7">
      <c r="E161" s="37">
        <f>E160/E13</f>
        <v>0.99999999999999967</v>
      </c>
      <c r="F161" s="37">
        <f>F160/SUM(E12,E14)</f>
        <v>0.97231900890437473</v>
      </c>
      <c r="G161" s="37">
        <f>G160/E11</f>
        <v>0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10519.364766933673</v>
      </c>
    </row>
    <row r="3" spans="1:2">
      <c r="A3" t="s">
        <v>39</v>
      </c>
      <c r="B3" s="8">
        <f>'BAADTbVT-passengers'!D3</f>
        <v>8151.8265461360261</v>
      </c>
    </row>
    <row r="4" spans="1:2">
      <c r="A4" t="s">
        <v>40</v>
      </c>
      <c r="B4" s="8">
        <f>'BAADTbVT-passengers'!D4</f>
        <v>0</v>
      </c>
    </row>
    <row r="5" spans="1:2">
      <c r="A5" t="s">
        <v>41</v>
      </c>
      <c r="B5" s="8">
        <f>SUMIFS('psgr rail calcs'!M:M,'psgr rail calcs'!C:C,About!B2)</f>
        <v>0</v>
      </c>
    </row>
    <row r="6" spans="1:2">
      <c r="A6" t="s">
        <v>42</v>
      </c>
      <c r="B6" s="8">
        <f>'BAADTbVT-passengers'!D6</f>
        <v>192.23405847636897</v>
      </c>
    </row>
    <row r="7" spans="1:2">
      <c r="A7" t="s">
        <v>43</v>
      </c>
      <c r="B7" s="8">
        <f>'BAADTbVT-passengers'!D7</f>
        <v>2073.9478576857741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9493.7861559901594</v>
      </c>
    </row>
    <row r="3" spans="1:2">
      <c r="A3" t="s">
        <v>39</v>
      </c>
      <c r="B3" s="8">
        <f>'BAADTbVT-freight'!D3</f>
        <v>16344.705456173457</v>
      </c>
    </row>
    <row r="4" spans="1:2">
      <c r="A4" t="s">
        <v>40</v>
      </c>
      <c r="B4" s="8">
        <f>'BAADTbVT-freight'!D4</f>
        <v>0</v>
      </c>
    </row>
    <row r="5" spans="1:2">
      <c r="A5" t="s">
        <v>41</v>
      </c>
      <c r="B5" s="8">
        <f>'BAADTbVT-freight'!D5</f>
        <v>9041.7831492843288</v>
      </c>
    </row>
    <row r="6" spans="1:2">
      <c r="A6" t="s">
        <v>42</v>
      </c>
      <c r="B6" s="8">
        <f>'BAADTbVT-freight'!D6</f>
        <v>0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10519.364766933673</v>
      </c>
      <c r="C2" s="8">
        <f t="shared" ref="C2:L3" si="0">$B2</f>
        <v>10519.364766933673</v>
      </c>
      <c r="D2" s="8">
        <f t="shared" si="0"/>
        <v>10519.364766933673</v>
      </c>
      <c r="E2" s="8">
        <f t="shared" si="0"/>
        <v>10519.364766933673</v>
      </c>
      <c r="F2" s="8">
        <f t="shared" si="0"/>
        <v>10519.364766933673</v>
      </c>
      <c r="G2" s="8">
        <f t="shared" si="0"/>
        <v>10519.364766933673</v>
      </c>
      <c r="H2" s="8">
        <f t="shared" si="0"/>
        <v>10519.364766933673</v>
      </c>
      <c r="I2" s="8">
        <f t="shared" si="0"/>
        <v>10519.364766933673</v>
      </c>
      <c r="J2" s="8">
        <f t="shared" si="0"/>
        <v>10519.364766933673</v>
      </c>
      <c r="K2" s="8">
        <f t="shared" si="0"/>
        <v>10519.364766933673</v>
      </c>
      <c r="L2" s="8">
        <f t="shared" si="0"/>
        <v>10519.364766933673</v>
      </c>
      <c r="M2" s="8">
        <f t="shared" ref="M2:V3" si="1">$B2</f>
        <v>10519.364766933673</v>
      </c>
      <c r="N2" s="8">
        <f t="shared" si="1"/>
        <v>10519.364766933673</v>
      </c>
      <c r="O2" s="8">
        <f t="shared" si="1"/>
        <v>10519.364766933673</v>
      </c>
      <c r="P2" s="8">
        <f t="shared" si="1"/>
        <v>10519.364766933673</v>
      </c>
      <c r="Q2" s="8">
        <f t="shared" si="1"/>
        <v>10519.364766933673</v>
      </c>
      <c r="R2" s="8">
        <f t="shared" si="1"/>
        <v>10519.364766933673</v>
      </c>
      <c r="S2" s="8">
        <f t="shared" si="1"/>
        <v>10519.364766933673</v>
      </c>
      <c r="T2" s="8">
        <f t="shared" si="1"/>
        <v>10519.364766933673</v>
      </c>
      <c r="U2" s="8">
        <f t="shared" si="1"/>
        <v>10519.364766933673</v>
      </c>
      <c r="V2" s="8">
        <f t="shared" si="1"/>
        <v>10519.364766933673</v>
      </c>
      <c r="W2" s="8">
        <f t="shared" ref="W2:AH3" si="2">$B2</f>
        <v>10519.364766933673</v>
      </c>
      <c r="X2" s="8">
        <f t="shared" si="2"/>
        <v>10519.364766933673</v>
      </c>
      <c r="Y2" s="8">
        <f t="shared" si="2"/>
        <v>10519.364766933673</v>
      </c>
      <c r="Z2" s="8">
        <f t="shared" si="2"/>
        <v>10519.364766933673</v>
      </c>
      <c r="AA2" s="8">
        <f t="shared" si="2"/>
        <v>10519.364766933673</v>
      </c>
      <c r="AB2" s="8">
        <f t="shared" si="2"/>
        <v>10519.364766933673</v>
      </c>
      <c r="AC2" s="8">
        <f t="shared" si="2"/>
        <v>10519.364766933673</v>
      </c>
      <c r="AD2" s="8">
        <f t="shared" si="2"/>
        <v>10519.364766933673</v>
      </c>
      <c r="AE2" s="8">
        <f t="shared" si="2"/>
        <v>10519.364766933673</v>
      </c>
      <c r="AF2" s="8">
        <f t="shared" si="2"/>
        <v>10519.364766933673</v>
      </c>
      <c r="AG2" s="8">
        <f t="shared" si="2"/>
        <v>10519.364766933673</v>
      </c>
      <c r="AH2" s="8">
        <f t="shared" si="2"/>
        <v>10519.364766933673</v>
      </c>
    </row>
    <row r="3" spans="1:34">
      <c r="A3" t="s">
        <v>39</v>
      </c>
      <c r="B3" s="8">
        <f>'Scale to SEDS'!F70</f>
        <v>8151.8265461360261</v>
      </c>
      <c r="C3" s="8">
        <f t="shared" si="0"/>
        <v>8151.8265461360261</v>
      </c>
      <c r="D3" s="8">
        <f t="shared" si="0"/>
        <v>8151.8265461360261</v>
      </c>
      <c r="E3" s="8">
        <f t="shared" si="0"/>
        <v>8151.8265461360261</v>
      </c>
      <c r="F3" s="8">
        <f t="shared" si="0"/>
        <v>8151.8265461360261</v>
      </c>
      <c r="G3" s="8">
        <f t="shared" si="0"/>
        <v>8151.8265461360261</v>
      </c>
      <c r="H3" s="8">
        <f t="shared" si="0"/>
        <v>8151.8265461360261</v>
      </c>
      <c r="I3" s="8">
        <f t="shared" si="0"/>
        <v>8151.8265461360261</v>
      </c>
      <c r="J3" s="8">
        <f t="shared" si="0"/>
        <v>8151.8265461360261</v>
      </c>
      <c r="K3" s="8">
        <f t="shared" si="0"/>
        <v>8151.8265461360261</v>
      </c>
      <c r="L3" s="8">
        <f t="shared" si="0"/>
        <v>8151.8265461360261</v>
      </c>
      <c r="M3" s="8">
        <f t="shared" si="1"/>
        <v>8151.8265461360261</v>
      </c>
      <c r="N3" s="8">
        <f t="shared" si="1"/>
        <v>8151.8265461360261</v>
      </c>
      <c r="O3" s="8">
        <f t="shared" si="1"/>
        <v>8151.8265461360261</v>
      </c>
      <c r="P3" s="8">
        <f t="shared" si="1"/>
        <v>8151.8265461360261</v>
      </c>
      <c r="Q3" s="8">
        <f t="shared" si="1"/>
        <v>8151.8265461360261</v>
      </c>
      <c r="R3" s="8">
        <f t="shared" si="1"/>
        <v>8151.8265461360261</v>
      </c>
      <c r="S3" s="8">
        <f t="shared" si="1"/>
        <v>8151.8265461360261</v>
      </c>
      <c r="T3" s="8">
        <f t="shared" si="1"/>
        <v>8151.8265461360261</v>
      </c>
      <c r="U3" s="8">
        <f t="shared" si="1"/>
        <v>8151.8265461360261</v>
      </c>
      <c r="V3" s="8">
        <f t="shared" si="1"/>
        <v>8151.8265461360261</v>
      </c>
      <c r="W3" s="8">
        <f t="shared" si="2"/>
        <v>8151.8265461360261</v>
      </c>
      <c r="X3" s="8">
        <f t="shared" si="2"/>
        <v>8151.8265461360261</v>
      </c>
      <c r="Y3" s="8">
        <f t="shared" si="2"/>
        <v>8151.8265461360261</v>
      </c>
      <c r="Z3" s="8">
        <f t="shared" si="2"/>
        <v>8151.8265461360261</v>
      </c>
      <c r="AA3" s="8">
        <f t="shared" si="2"/>
        <v>8151.8265461360261</v>
      </c>
      <c r="AB3" s="8">
        <f t="shared" si="2"/>
        <v>8151.8265461360261</v>
      </c>
      <c r="AC3" s="8">
        <f t="shared" si="2"/>
        <v>8151.8265461360261</v>
      </c>
      <c r="AD3" s="8">
        <f t="shared" si="2"/>
        <v>8151.8265461360261</v>
      </c>
      <c r="AE3" s="8">
        <f t="shared" si="2"/>
        <v>8151.8265461360261</v>
      </c>
      <c r="AF3" s="8">
        <f t="shared" si="2"/>
        <v>8151.8265461360261</v>
      </c>
      <c r="AG3" s="8">
        <f t="shared" si="2"/>
        <v>8151.8265461360261</v>
      </c>
      <c r="AH3" s="8">
        <f t="shared" si="2"/>
        <v>8151.8265461360261</v>
      </c>
    </row>
    <row r="4" spans="1:34">
      <c r="A4" t="s">
        <v>40</v>
      </c>
      <c r="B4" s="8">
        <f>'Scale to SEDS'!G71</f>
        <v>0</v>
      </c>
      <c r="C4" s="8">
        <f t="shared" ref="C4:AH4" si="3">$B$4</f>
        <v>0</v>
      </c>
      <c r="D4" s="8">
        <f t="shared" si="3"/>
        <v>0</v>
      </c>
      <c r="E4" s="8">
        <f t="shared" si="3"/>
        <v>0</v>
      </c>
      <c r="F4" s="8">
        <f t="shared" si="3"/>
        <v>0</v>
      </c>
      <c r="G4" s="8">
        <f t="shared" si="3"/>
        <v>0</v>
      </c>
      <c r="H4" s="8">
        <f t="shared" si="3"/>
        <v>0</v>
      </c>
      <c r="I4" s="8">
        <f t="shared" si="3"/>
        <v>0</v>
      </c>
      <c r="J4" s="8">
        <f t="shared" si="3"/>
        <v>0</v>
      </c>
      <c r="K4" s="8">
        <f t="shared" si="3"/>
        <v>0</v>
      </c>
      <c r="L4" s="8">
        <f t="shared" si="3"/>
        <v>0</v>
      </c>
      <c r="M4" s="8">
        <f t="shared" si="3"/>
        <v>0</v>
      </c>
      <c r="N4" s="8">
        <f t="shared" si="3"/>
        <v>0</v>
      </c>
      <c r="O4" s="8">
        <f t="shared" si="3"/>
        <v>0</v>
      </c>
      <c r="P4" s="8">
        <f t="shared" si="3"/>
        <v>0</v>
      </c>
      <c r="Q4" s="8">
        <f t="shared" si="3"/>
        <v>0</v>
      </c>
      <c r="R4" s="8">
        <f t="shared" si="3"/>
        <v>0</v>
      </c>
      <c r="S4" s="8">
        <f t="shared" si="3"/>
        <v>0</v>
      </c>
      <c r="T4" s="8">
        <f t="shared" si="3"/>
        <v>0</v>
      </c>
      <c r="U4" s="8">
        <f t="shared" si="3"/>
        <v>0</v>
      </c>
      <c r="V4" s="8">
        <f t="shared" si="3"/>
        <v>0</v>
      </c>
      <c r="W4" s="8">
        <f t="shared" si="3"/>
        <v>0</v>
      </c>
      <c r="X4" s="8">
        <f t="shared" si="3"/>
        <v>0</v>
      </c>
      <c r="Y4" s="8">
        <f t="shared" si="3"/>
        <v>0</v>
      </c>
      <c r="Z4" s="8">
        <f t="shared" si="3"/>
        <v>0</v>
      </c>
      <c r="AA4" s="8">
        <f t="shared" si="3"/>
        <v>0</v>
      </c>
      <c r="AB4" s="8">
        <f t="shared" si="3"/>
        <v>0</v>
      </c>
      <c r="AC4" s="8">
        <f t="shared" si="3"/>
        <v>0</v>
      </c>
      <c r="AD4" s="8">
        <f t="shared" si="3"/>
        <v>0</v>
      </c>
      <c r="AE4" s="8">
        <f t="shared" si="3"/>
        <v>0</v>
      </c>
      <c r="AF4" s="8">
        <f t="shared" si="3"/>
        <v>0</v>
      </c>
      <c r="AG4" s="8">
        <f t="shared" si="3"/>
        <v>0</v>
      </c>
      <c r="AH4" s="8">
        <f t="shared" si="3"/>
        <v>0</v>
      </c>
    </row>
    <row r="5" spans="1:34">
      <c r="A5" t="s">
        <v>41</v>
      </c>
      <c r="B5" s="8">
        <f>'SYAADTbVT-passengers'!B5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192.23405847636897</v>
      </c>
      <c r="C6" s="8">
        <f t="shared" si="4"/>
        <v>192.23405847636897</v>
      </c>
      <c r="D6" s="8">
        <f t="shared" si="4"/>
        <v>192.23405847636897</v>
      </c>
      <c r="E6" s="8">
        <f t="shared" si="4"/>
        <v>192.23405847636897</v>
      </c>
      <c r="F6" s="8">
        <f t="shared" si="4"/>
        <v>192.23405847636897</v>
      </c>
      <c r="G6" s="8">
        <f t="shared" si="4"/>
        <v>192.23405847636897</v>
      </c>
      <c r="H6" s="8">
        <f t="shared" si="4"/>
        <v>192.23405847636897</v>
      </c>
      <c r="I6" s="8">
        <f t="shared" si="4"/>
        <v>192.23405847636897</v>
      </c>
      <c r="J6" s="8">
        <f t="shared" si="4"/>
        <v>192.23405847636897</v>
      </c>
      <c r="K6" s="8">
        <f t="shared" si="4"/>
        <v>192.23405847636897</v>
      </c>
      <c r="L6" s="8">
        <f t="shared" si="4"/>
        <v>192.23405847636897</v>
      </c>
      <c r="M6" s="8">
        <f t="shared" si="5"/>
        <v>192.23405847636897</v>
      </c>
      <c r="N6" s="8">
        <f t="shared" si="5"/>
        <v>192.23405847636897</v>
      </c>
      <c r="O6" s="8">
        <f t="shared" si="5"/>
        <v>192.23405847636897</v>
      </c>
      <c r="P6" s="8">
        <f t="shared" si="5"/>
        <v>192.23405847636897</v>
      </c>
      <c r="Q6" s="8">
        <f t="shared" si="5"/>
        <v>192.23405847636897</v>
      </c>
      <c r="R6" s="8">
        <f t="shared" si="5"/>
        <v>192.23405847636897</v>
      </c>
      <c r="S6" s="8">
        <f t="shared" si="5"/>
        <v>192.23405847636897</v>
      </c>
      <c r="T6" s="8">
        <f t="shared" si="5"/>
        <v>192.23405847636897</v>
      </c>
      <c r="U6" s="8">
        <f t="shared" si="5"/>
        <v>192.23405847636897</v>
      </c>
      <c r="V6" s="8">
        <f t="shared" si="5"/>
        <v>192.23405847636897</v>
      </c>
      <c r="W6" s="8">
        <f t="shared" si="6"/>
        <v>192.23405847636897</v>
      </c>
      <c r="X6" s="8">
        <f t="shared" si="6"/>
        <v>192.23405847636897</v>
      </c>
      <c r="Y6" s="8">
        <f t="shared" si="6"/>
        <v>192.23405847636897</v>
      </c>
      <c r="Z6" s="8">
        <f t="shared" si="6"/>
        <v>192.23405847636897</v>
      </c>
      <c r="AA6" s="8">
        <f t="shared" si="6"/>
        <v>192.23405847636897</v>
      </c>
      <c r="AB6" s="8">
        <f t="shared" si="6"/>
        <v>192.23405847636897</v>
      </c>
      <c r="AC6" s="8">
        <f t="shared" si="6"/>
        <v>192.23405847636897</v>
      </c>
      <c r="AD6" s="8">
        <f t="shared" si="6"/>
        <v>192.23405847636897</v>
      </c>
      <c r="AE6" s="8">
        <f t="shared" si="6"/>
        <v>192.23405847636897</v>
      </c>
      <c r="AF6" s="8">
        <f t="shared" si="6"/>
        <v>192.23405847636897</v>
      </c>
      <c r="AG6" s="8">
        <f t="shared" si="6"/>
        <v>192.23405847636897</v>
      </c>
      <c r="AH6" s="8">
        <f t="shared" si="6"/>
        <v>192.23405847636897</v>
      </c>
    </row>
    <row r="7" spans="1:34">
      <c r="A7" t="s">
        <v>43</v>
      </c>
      <c r="B7" s="8">
        <f>'Scale to SEDS'!E74</f>
        <v>2073.9478576857741</v>
      </c>
      <c r="C7" s="8">
        <f t="shared" si="4"/>
        <v>2073.9478576857741</v>
      </c>
      <c r="D7" s="8">
        <f t="shared" si="4"/>
        <v>2073.9478576857741</v>
      </c>
      <c r="E7" s="8">
        <f t="shared" si="4"/>
        <v>2073.9478576857741</v>
      </c>
      <c r="F7" s="8">
        <f t="shared" si="4"/>
        <v>2073.9478576857741</v>
      </c>
      <c r="G7" s="8">
        <f t="shared" si="4"/>
        <v>2073.9478576857741</v>
      </c>
      <c r="H7" s="8">
        <f t="shared" si="4"/>
        <v>2073.9478576857741</v>
      </c>
      <c r="I7" s="8">
        <f t="shared" si="4"/>
        <v>2073.9478576857741</v>
      </c>
      <c r="J7" s="8">
        <f t="shared" si="4"/>
        <v>2073.9478576857741</v>
      </c>
      <c r="K7" s="8">
        <f t="shared" si="4"/>
        <v>2073.9478576857741</v>
      </c>
      <c r="L7" s="8">
        <f t="shared" si="4"/>
        <v>2073.9478576857741</v>
      </c>
      <c r="M7" s="8">
        <f t="shared" si="5"/>
        <v>2073.9478576857741</v>
      </c>
      <c r="N7" s="8">
        <f t="shared" si="5"/>
        <v>2073.9478576857741</v>
      </c>
      <c r="O7" s="8">
        <f t="shared" si="5"/>
        <v>2073.9478576857741</v>
      </c>
      <c r="P7" s="8">
        <f t="shared" si="5"/>
        <v>2073.9478576857741</v>
      </c>
      <c r="Q7" s="8">
        <f t="shared" si="5"/>
        <v>2073.9478576857741</v>
      </c>
      <c r="R7" s="8">
        <f t="shared" si="5"/>
        <v>2073.9478576857741</v>
      </c>
      <c r="S7" s="8">
        <f t="shared" si="5"/>
        <v>2073.9478576857741</v>
      </c>
      <c r="T7" s="8">
        <f t="shared" si="5"/>
        <v>2073.9478576857741</v>
      </c>
      <c r="U7" s="8">
        <f t="shared" si="5"/>
        <v>2073.9478576857741</v>
      </c>
      <c r="V7" s="8">
        <f t="shared" si="5"/>
        <v>2073.9478576857741</v>
      </c>
      <c r="W7" s="8">
        <f t="shared" si="6"/>
        <v>2073.9478576857741</v>
      </c>
      <c r="X7" s="8">
        <f t="shared" si="6"/>
        <v>2073.9478576857741</v>
      </c>
      <c r="Y7" s="8">
        <f t="shared" si="6"/>
        <v>2073.9478576857741</v>
      </c>
      <c r="Z7" s="8">
        <f t="shared" si="6"/>
        <v>2073.9478576857741</v>
      </c>
      <c r="AA7" s="8">
        <f t="shared" si="6"/>
        <v>2073.9478576857741</v>
      </c>
      <c r="AB7" s="8">
        <f t="shared" si="6"/>
        <v>2073.9478576857741</v>
      </c>
      <c r="AC7" s="8">
        <f t="shared" si="6"/>
        <v>2073.9478576857741</v>
      </c>
      <c r="AD7" s="8">
        <f t="shared" si="6"/>
        <v>2073.9478576857741</v>
      </c>
      <c r="AE7" s="8">
        <f t="shared" si="6"/>
        <v>2073.9478576857741</v>
      </c>
      <c r="AF7" s="8">
        <f t="shared" si="6"/>
        <v>2073.9478576857741</v>
      </c>
      <c r="AG7" s="8">
        <f t="shared" si="6"/>
        <v>2073.9478576857741</v>
      </c>
      <c r="AH7" s="8">
        <f t="shared" si="6"/>
        <v>2073.9478576857741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9493.7861559901594</v>
      </c>
      <c r="C2" s="8">
        <f t="shared" ref="C2:AH2" si="0">B2</f>
        <v>9493.7861559901594</v>
      </c>
      <c r="D2" s="8">
        <f t="shared" si="0"/>
        <v>9493.7861559901594</v>
      </c>
      <c r="E2" s="8">
        <f t="shared" si="0"/>
        <v>9493.7861559901594</v>
      </c>
      <c r="F2" s="8">
        <f t="shared" si="0"/>
        <v>9493.7861559901594</v>
      </c>
      <c r="G2" s="8">
        <f t="shared" si="0"/>
        <v>9493.7861559901594</v>
      </c>
      <c r="H2" s="8">
        <f t="shared" si="0"/>
        <v>9493.7861559901594</v>
      </c>
      <c r="I2" s="8">
        <f t="shared" si="0"/>
        <v>9493.7861559901594</v>
      </c>
      <c r="J2" s="8">
        <f t="shared" si="0"/>
        <v>9493.7861559901594</v>
      </c>
      <c r="K2" s="8">
        <f t="shared" si="0"/>
        <v>9493.7861559901594</v>
      </c>
      <c r="L2" s="8">
        <f t="shared" si="0"/>
        <v>9493.7861559901594</v>
      </c>
      <c r="M2" s="8">
        <f t="shared" si="0"/>
        <v>9493.7861559901594</v>
      </c>
      <c r="N2" s="8">
        <f t="shared" si="0"/>
        <v>9493.7861559901594</v>
      </c>
      <c r="O2" s="8">
        <f t="shared" si="0"/>
        <v>9493.7861559901594</v>
      </c>
      <c r="P2" s="8">
        <f t="shared" si="0"/>
        <v>9493.7861559901594</v>
      </c>
      <c r="Q2" s="8">
        <f t="shared" si="0"/>
        <v>9493.7861559901594</v>
      </c>
      <c r="R2" s="8">
        <f t="shared" si="0"/>
        <v>9493.7861559901594</v>
      </c>
      <c r="S2" s="8">
        <f t="shared" si="0"/>
        <v>9493.7861559901594</v>
      </c>
      <c r="T2" s="8">
        <f t="shared" si="0"/>
        <v>9493.7861559901594</v>
      </c>
      <c r="U2" s="8">
        <f t="shared" si="0"/>
        <v>9493.7861559901594</v>
      </c>
      <c r="V2" s="8">
        <f t="shared" si="0"/>
        <v>9493.7861559901594</v>
      </c>
      <c r="W2" s="8">
        <f t="shared" si="0"/>
        <v>9493.7861559901594</v>
      </c>
      <c r="X2" s="8">
        <f t="shared" si="0"/>
        <v>9493.7861559901594</v>
      </c>
      <c r="Y2" s="8">
        <f t="shared" si="0"/>
        <v>9493.7861559901594</v>
      </c>
      <c r="Z2" s="8">
        <f t="shared" si="0"/>
        <v>9493.7861559901594</v>
      </c>
      <c r="AA2" s="8">
        <f t="shared" si="0"/>
        <v>9493.7861559901594</v>
      </c>
      <c r="AB2" s="8">
        <f t="shared" si="0"/>
        <v>9493.7861559901594</v>
      </c>
      <c r="AC2" s="8">
        <f t="shared" si="0"/>
        <v>9493.7861559901594</v>
      </c>
      <c r="AD2" s="8">
        <f t="shared" si="0"/>
        <v>9493.7861559901594</v>
      </c>
      <c r="AE2" s="8">
        <f t="shared" si="0"/>
        <v>9493.7861559901594</v>
      </c>
      <c r="AF2" s="8">
        <f t="shared" si="0"/>
        <v>9493.7861559901594</v>
      </c>
      <c r="AG2" s="8">
        <f t="shared" si="0"/>
        <v>9493.7861559901594</v>
      </c>
      <c r="AH2" s="8">
        <f t="shared" si="0"/>
        <v>9493.7861559901594</v>
      </c>
    </row>
    <row r="3" spans="1:34">
      <c r="A3" t="s">
        <v>39</v>
      </c>
      <c r="B3" s="8">
        <f>'Scale to SEDS'!F76</f>
        <v>16344.705456173457</v>
      </c>
      <c r="C3" s="8">
        <f t="shared" ref="C3:AH3" si="1">B3</f>
        <v>16344.705456173457</v>
      </c>
      <c r="D3" s="8">
        <f t="shared" si="1"/>
        <v>16344.705456173457</v>
      </c>
      <c r="E3" s="8">
        <f t="shared" si="1"/>
        <v>16344.705456173457</v>
      </c>
      <c r="F3" s="8">
        <f t="shared" si="1"/>
        <v>16344.705456173457</v>
      </c>
      <c r="G3" s="8">
        <f t="shared" si="1"/>
        <v>16344.705456173457</v>
      </c>
      <c r="H3" s="8">
        <f t="shared" si="1"/>
        <v>16344.705456173457</v>
      </c>
      <c r="I3" s="8">
        <f t="shared" si="1"/>
        <v>16344.705456173457</v>
      </c>
      <c r="J3" s="8">
        <f t="shared" si="1"/>
        <v>16344.705456173457</v>
      </c>
      <c r="K3" s="8">
        <f t="shared" si="1"/>
        <v>16344.705456173457</v>
      </c>
      <c r="L3" s="8">
        <f t="shared" si="1"/>
        <v>16344.705456173457</v>
      </c>
      <c r="M3" s="8">
        <f t="shared" si="1"/>
        <v>16344.705456173457</v>
      </c>
      <c r="N3" s="8">
        <f t="shared" si="1"/>
        <v>16344.705456173457</v>
      </c>
      <c r="O3" s="8">
        <f t="shared" si="1"/>
        <v>16344.705456173457</v>
      </c>
      <c r="P3" s="8">
        <f t="shared" si="1"/>
        <v>16344.705456173457</v>
      </c>
      <c r="Q3" s="8">
        <f t="shared" si="1"/>
        <v>16344.705456173457</v>
      </c>
      <c r="R3" s="8">
        <f t="shared" si="1"/>
        <v>16344.705456173457</v>
      </c>
      <c r="S3" s="8">
        <f t="shared" si="1"/>
        <v>16344.705456173457</v>
      </c>
      <c r="T3" s="8">
        <f t="shared" si="1"/>
        <v>16344.705456173457</v>
      </c>
      <c r="U3" s="8">
        <f t="shared" si="1"/>
        <v>16344.705456173457</v>
      </c>
      <c r="V3" s="8">
        <f t="shared" si="1"/>
        <v>16344.705456173457</v>
      </c>
      <c r="W3" s="8">
        <f t="shared" si="1"/>
        <v>16344.705456173457</v>
      </c>
      <c r="X3" s="8">
        <f t="shared" si="1"/>
        <v>16344.705456173457</v>
      </c>
      <c r="Y3" s="8">
        <f t="shared" si="1"/>
        <v>16344.705456173457</v>
      </c>
      <c r="Z3" s="8">
        <f t="shared" si="1"/>
        <v>16344.705456173457</v>
      </c>
      <c r="AA3" s="8">
        <f t="shared" si="1"/>
        <v>16344.705456173457</v>
      </c>
      <c r="AB3" s="8">
        <f t="shared" si="1"/>
        <v>16344.705456173457</v>
      </c>
      <c r="AC3" s="8">
        <f t="shared" si="1"/>
        <v>16344.705456173457</v>
      </c>
      <c r="AD3" s="8">
        <f t="shared" si="1"/>
        <v>16344.705456173457</v>
      </c>
      <c r="AE3" s="8">
        <f t="shared" si="1"/>
        <v>16344.705456173457</v>
      </c>
      <c r="AF3" s="8">
        <f t="shared" si="1"/>
        <v>16344.705456173457</v>
      </c>
      <c r="AG3" s="8">
        <f t="shared" si="1"/>
        <v>16344.705456173457</v>
      </c>
      <c r="AH3" s="8">
        <f t="shared" si="1"/>
        <v>16344.705456173457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9041.7831492843288</v>
      </c>
      <c r="C5" s="8">
        <f t="shared" ref="C5:AH5" si="3">B5</f>
        <v>9041.7831492843288</v>
      </c>
      <c r="D5" s="8">
        <f t="shared" si="3"/>
        <v>9041.7831492843288</v>
      </c>
      <c r="E5" s="8">
        <f t="shared" si="3"/>
        <v>9041.7831492843288</v>
      </c>
      <c r="F5" s="8">
        <f t="shared" si="3"/>
        <v>9041.7831492843288</v>
      </c>
      <c r="G5" s="8">
        <f t="shared" si="3"/>
        <v>9041.7831492843288</v>
      </c>
      <c r="H5" s="8">
        <f t="shared" si="3"/>
        <v>9041.7831492843288</v>
      </c>
      <c r="I5" s="8">
        <f t="shared" si="3"/>
        <v>9041.7831492843288</v>
      </c>
      <c r="J5" s="8">
        <f t="shared" si="3"/>
        <v>9041.7831492843288</v>
      </c>
      <c r="K5" s="8">
        <f t="shared" si="3"/>
        <v>9041.7831492843288</v>
      </c>
      <c r="L5" s="8">
        <f t="shared" si="3"/>
        <v>9041.7831492843288</v>
      </c>
      <c r="M5" s="8">
        <f t="shared" si="3"/>
        <v>9041.7831492843288</v>
      </c>
      <c r="N5" s="8">
        <f t="shared" si="3"/>
        <v>9041.7831492843288</v>
      </c>
      <c r="O5" s="8">
        <f t="shared" si="3"/>
        <v>9041.7831492843288</v>
      </c>
      <c r="P5" s="8">
        <f t="shared" si="3"/>
        <v>9041.7831492843288</v>
      </c>
      <c r="Q5" s="8">
        <f t="shared" si="3"/>
        <v>9041.7831492843288</v>
      </c>
      <c r="R5" s="8">
        <f t="shared" si="3"/>
        <v>9041.7831492843288</v>
      </c>
      <c r="S5" s="8">
        <f t="shared" si="3"/>
        <v>9041.7831492843288</v>
      </c>
      <c r="T5" s="8">
        <f t="shared" si="3"/>
        <v>9041.7831492843288</v>
      </c>
      <c r="U5" s="8">
        <f t="shared" si="3"/>
        <v>9041.7831492843288</v>
      </c>
      <c r="V5" s="8">
        <f t="shared" si="3"/>
        <v>9041.7831492843288</v>
      </c>
      <c r="W5" s="8">
        <f t="shared" si="3"/>
        <v>9041.7831492843288</v>
      </c>
      <c r="X5" s="8">
        <f t="shared" si="3"/>
        <v>9041.7831492843288</v>
      </c>
      <c r="Y5" s="8">
        <f t="shared" si="3"/>
        <v>9041.7831492843288</v>
      </c>
      <c r="Z5" s="8">
        <f t="shared" si="3"/>
        <v>9041.7831492843288</v>
      </c>
      <c r="AA5" s="8">
        <f t="shared" si="3"/>
        <v>9041.7831492843288</v>
      </c>
      <c r="AB5" s="8">
        <f t="shared" si="3"/>
        <v>9041.7831492843288</v>
      </c>
      <c r="AC5" s="8">
        <f t="shared" si="3"/>
        <v>9041.7831492843288</v>
      </c>
      <c r="AD5" s="8">
        <f t="shared" si="3"/>
        <v>9041.7831492843288</v>
      </c>
      <c r="AE5" s="8">
        <f t="shared" si="3"/>
        <v>9041.7831492843288</v>
      </c>
      <c r="AF5" s="8">
        <f t="shared" si="3"/>
        <v>9041.7831492843288</v>
      </c>
      <c r="AG5" s="8">
        <f t="shared" si="3"/>
        <v>9041.7831492843288</v>
      </c>
      <c r="AH5" s="8">
        <f t="shared" si="3"/>
        <v>9041.7831492843288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2024-01-19T22:56:36Z</dcterms:modified>
</cp:coreProperties>
</file>