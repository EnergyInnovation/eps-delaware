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DE\trans\BCDTRtSY\"/>
    </mc:Choice>
  </mc:AlternateContent>
  <xr:revisionPtr revIDLastSave="0" documentId="8_{2B5F9CA0-9D9F-4596-B9E2-6448F861EA22}"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<sst xmlns="http://schemas.openxmlformats.org/spreadsheetml/2006/main" count="6428" uniqueCount="3038">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</sst>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2892</v>
      </c>
      <c r="C1" s="77">
        <v>46248</v>
      </c>
      <c r="H1" t="s">
        <v>2981</v>
      </c>
      <c r="I1" t="s">
        <v>2982</v>
      </c>
    </row>
    <row r="2" spans="1:9">
      <c r="B2" t="str">
        <f>VLOOKUP(B1,H2:I52,2)</f>
        <v>DE</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Delaware</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1.003286049649089</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1.0079806373598779</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1.0096024172533102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1.0108196911087981</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1.0113069553278822</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1.0175819288914285</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1.0240239310382766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1.0290794649385775</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1.0347298664374707</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1.0395285166299562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1.0450239214625836</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1.0509555256504537</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1.0569453719148607</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1.0623235285312131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1.0679046964510526</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1.0725824486796181</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1.0771312925278016</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1.0813281723757513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1.0857548098493566</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1.0899487976213842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1.0938581245292036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1.0969361701005784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1.1001348076082091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1.1030769238389657</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1.1064252497057929</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1.0150614973926444</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1.0242818643096121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1.030021031498624</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1.0345348064260038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1.037642990311715</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1.0456661112305035</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1.053289283829119</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1.0614082912887737</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1.0690784117509033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1.0770880591050456</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1.0843307122671373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1.0917167463623911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1.0986096697554379</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1.1054896321715251</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1.1123245894448821</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1.1183494717800808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1.1243338010125687</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1.1299828484474082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1.135513390443402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1.1409318459033373</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1.1459534972992902</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1.1508576508526724</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1.1553652121873237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1.1596853233692779</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1.1639260949919739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1.0284414105073516</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1.0442194737366672</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1.0492286843232768</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1.0589911924279614</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1.0727919866970925</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1.0924199822411786</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1.1164996775632272</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1.1426072632911111</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1.171226236305261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1.2025795740879255</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1.2271285352911434</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1.2518934477067292</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1.2765468739663572</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1.3003301805202803</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1.3247033758922471</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1.3477519035368155</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1.3720461744042163</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1.3978477404123071</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1.4237092263981013</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1.4498522892183185</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1.47508016442976</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1.4983852326176439</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1.5220026043334667</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1.5446221027757532</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1.5678763071883377</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1.0607108081795353</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1.1048196791968685</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1.1372757734267769</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1.1648126409139523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1.1876543613950528</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1.2137223723894841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1.2377652090047055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1.2628020313523181</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1.2829294503045918</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1.3031262184605112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1.3196808608327293</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1.3371860985380302</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1.3534536129780657</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1.367039904597223</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1.3810387739547492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1.3934927786132658</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1.4060204982750857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1.416990053754513</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1.4288375058447904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1.4414080182679641</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1.4523224598218214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1.4640290507107732</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1.4733477318134378</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1.482251251162394</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1.4908495525281045</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0.99911800949472485</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0.99120457978781695</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0.9774299538144432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0.96614723662372159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0.95718715957564471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0.95376443792364773</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0.95258850549790153</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0.95255133528631941</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0.95371053095995251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0.95613631674118804</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0.95555439132196174</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0.9549667878968523</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0.95417004631272295</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0.95325764392551959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0.95239544560684908</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0.9506986316540238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0.94939406170737284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0.94835359054945245</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0.94727640535160829</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0.94612877101646808</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0.94445767823189064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0.94207042751685155</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0.93949143615219333</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0.936473943609754</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0.933694754795384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1.0030510774185104</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1.0082757478302977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1.0105670920194902</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1.0126487545160912</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1.0137103072976605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1.0212313023915636</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1.0288174456755128</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1.0348886323177999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1.0413208917896424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1.0468463712408829</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1.0531837258346923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1.0599832909677624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1.0667627700303077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1.0728126606474271</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1.0791017305961452</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1.0847841781505068</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1.0901982618016508</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1.0953761904576287</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1.1009084047107445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1.1063087795095958</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1.1112276537018899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1.1153756665340038</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1.1194648934215379</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1.1233841002098888</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1.1277240786050433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0.99327641811853074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0.99202738525701528</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0.99042428983371045</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0.9899934447271812</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0.99429557656591672</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1.0034535488495375</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1.0144457986935844</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1.0241976626226665</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1.0359454069794407</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1.0484777754673009</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1.0614312351002066</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1.0757576658012016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1.0914451517115702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1.1076161945980785</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1.1244301482163142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1.1402910768163024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1.1556165592758085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1.1683380958940768</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1.1808512300163005</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1.1948887721692527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1.2095161379342847</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1.2249734261218319</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1.2391530196909735</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1.2542666938971201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1.2686505667448564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1.0078792632635347</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1.0199386173894605</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1.031083610044915</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1.0396075516869294</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1.0504399931200599</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1.0634674243267925</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1.0774774303942209</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1.0893690828611535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1.1025866598169318</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1.1157373210713586</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1.128139929860551</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1.1398885323545436</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1.1506499966608068</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1.1608662994566155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1.1713061625468848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1.1814826192445189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1.1911475353224024</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1.1997793624793796</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1.2087765374354298</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1.219804110492914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1.2311092539518709</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1.2423665651485756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1.2513815848712209</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1.2603458733073567</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1.2687263648860694</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1.0239036203836547</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1.0399611805314974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1.0495297049431962</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1.0627149304209333</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1.0787822825770343</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1.10125054456862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1.1269702926389646</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1.1543360954815574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1.1836768515373568</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1.2151337447576309</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1.2422481724597387</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1.2697375056346807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1.2973734108434651</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1.3246253026707293</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1.3525098180973032</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1.3796628529155344</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1.4078790136152979</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1.437347979806463</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1.4670777665513357</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1.4972202703496471</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1.5269496262501641</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1.555555165939573</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1.5846052346958639</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1.6131853261335478</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1.6424628179137604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0.97448553926762316</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1.003036858740282</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0.97967757048129323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0.96919734006042269</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0.97290566000089462</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0.95123348094740767</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0.95850491895372258</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0.96593994627249802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0.96645667105145683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0.97286885052247052</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0.97842368281916159</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0.98537624629296239</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0.98901317793611754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0.99423735878333908</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0.99844575224543464</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1.0007186709192635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1.0007886473212333</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1.0014888575761267</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1.0047328010174079</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1.0073481738780639</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1.0125865714351658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1.0216937672164181</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1.0280757266655838</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1.0282761696042912</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1.0291564882417599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0.98931449682915518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1.0055391679725412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1.0236839424838344</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1.0384003460862186</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1.0539496485237934</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1.0746897800392883</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1.097576238534268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1.120878118177578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1.1450254400031525</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1.1703167712849025</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1.1916833943452851</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1.2097567404945306</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1.2278992380836486</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1.2449091873082969</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1.2620717902121643</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1.2788653618757133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1.2968373194497589</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1.3144538576548577</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1.3319940334550884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1.3510293562265343</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1.3703165907507313</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1.3898943284634251</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1.408745974145468</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1.4273537068738327</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1.4475780379185517</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1.003286049649089</v>
      </c>
      <c r="E2">
        <f>'BCDTRtSY-state-adjusted'!E5</f>
        <v>1.0079806373598779</v>
      </c>
      <c r="F2">
        <f>'BCDTRtSY-state-adjusted'!F5</f>
        <v>1.0096024172533102</v>
      </c>
      <c r="G2">
        <f>'BCDTRtSY-state-adjusted'!G5</f>
        <v>1.0108196911087981</v>
      </c>
      <c r="H2">
        <f>'BCDTRtSY-state-adjusted'!H5</f>
        <v>1.0113069553278822</v>
      </c>
      <c r="I2">
        <f>'BCDTRtSY-state-adjusted'!I5</f>
        <v>1.0175819288914285</v>
      </c>
      <c r="J2">
        <f>'BCDTRtSY-state-adjusted'!J5</f>
        <v>1.0240239310382766</v>
      </c>
      <c r="K2">
        <f>'BCDTRtSY-state-adjusted'!K5</f>
        <v>1.0290794649385775</v>
      </c>
      <c r="L2">
        <f>'BCDTRtSY-state-adjusted'!L5</f>
        <v>1.0347298664374707</v>
      </c>
      <c r="M2">
        <f>'BCDTRtSY-state-adjusted'!M5</f>
        <v>1.0395285166299562</v>
      </c>
      <c r="N2">
        <f>'BCDTRtSY-state-adjusted'!N5</f>
        <v>1.0450239214625836</v>
      </c>
      <c r="O2">
        <f>'BCDTRtSY-state-adjusted'!O5</f>
        <v>1.0509555256504537</v>
      </c>
      <c r="P2">
        <f>'BCDTRtSY-state-adjusted'!P5</f>
        <v>1.0569453719148607</v>
      </c>
      <c r="Q2">
        <f>'BCDTRtSY-state-adjusted'!Q5</f>
        <v>1.0623235285312131</v>
      </c>
      <c r="R2">
        <f>'BCDTRtSY-state-adjusted'!R5</f>
        <v>1.0679046964510526</v>
      </c>
      <c r="S2">
        <f>'BCDTRtSY-state-adjusted'!S5</f>
        <v>1.0725824486796181</v>
      </c>
      <c r="T2">
        <f>'BCDTRtSY-state-adjusted'!T5</f>
        <v>1.0771312925278016</v>
      </c>
      <c r="U2">
        <f>'BCDTRtSY-state-adjusted'!U5</f>
        <v>1.0813281723757513</v>
      </c>
      <c r="V2">
        <f>'BCDTRtSY-state-adjusted'!V5</f>
        <v>1.0857548098493566</v>
      </c>
      <c r="W2">
        <f>'BCDTRtSY-state-adjusted'!W5</f>
        <v>1.0899487976213842</v>
      </c>
      <c r="X2">
        <f>'BCDTRtSY-state-adjusted'!X5</f>
        <v>1.0938581245292036</v>
      </c>
      <c r="Y2">
        <f>'BCDTRtSY-state-adjusted'!Y5</f>
        <v>1.0969361701005784</v>
      </c>
      <c r="Z2">
        <f>'BCDTRtSY-state-adjusted'!Z5</f>
        <v>1.1001348076082091</v>
      </c>
      <c r="AA2">
        <f>'BCDTRtSY-state-adjusted'!AA5</f>
        <v>1.1030769238389657</v>
      </c>
      <c r="AB2">
        <f>'BCDTRtSY-state-adjusted'!AB5</f>
        <v>1.1064252497057929</v>
      </c>
    </row>
    <row r="3" spans="1:28">
      <c r="A3" t="s">
        <v>118</v>
      </c>
      <c r="B3">
        <f>'BCDTRtSY-state-adjusted'!B6</f>
        <v>1</v>
      </c>
      <c r="C3">
        <f>'BCDTRtSY-state-adjusted'!C6</f>
        <v>1</v>
      </c>
      <c r="D3">
        <f>'BCDTRtSY-state-adjusted'!D6</f>
        <v>1.0150614973926444</v>
      </c>
      <c r="E3">
        <f>'BCDTRtSY-state-adjusted'!E6</f>
        <v>1.0242818643096121</v>
      </c>
      <c r="F3">
        <f>'BCDTRtSY-state-adjusted'!F6</f>
        <v>1.030021031498624</v>
      </c>
      <c r="G3">
        <f>'BCDTRtSY-state-adjusted'!G6</f>
        <v>1.0345348064260038</v>
      </c>
      <c r="H3">
        <f>'BCDTRtSY-state-adjusted'!H6</f>
        <v>1.037642990311715</v>
      </c>
      <c r="I3">
        <f>'BCDTRtSY-state-adjusted'!I6</f>
        <v>1.0456661112305035</v>
      </c>
      <c r="J3">
        <f>'BCDTRtSY-state-adjusted'!J6</f>
        <v>1.053289283829119</v>
      </c>
      <c r="K3">
        <f>'BCDTRtSY-state-adjusted'!K6</f>
        <v>1.0614082912887737</v>
      </c>
      <c r="L3">
        <f>'BCDTRtSY-state-adjusted'!L6</f>
        <v>1.0690784117509033</v>
      </c>
      <c r="M3">
        <f>'BCDTRtSY-state-adjusted'!M6</f>
        <v>1.0770880591050456</v>
      </c>
      <c r="N3">
        <f>'BCDTRtSY-state-adjusted'!N6</f>
        <v>1.0843307122671373</v>
      </c>
      <c r="O3">
        <f>'BCDTRtSY-state-adjusted'!O6</f>
        <v>1.0917167463623911</v>
      </c>
      <c r="P3">
        <f>'BCDTRtSY-state-adjusted'!P6</f>
        <v>1.0986096697554379</v>
      </c>
      <c r="Q3">
        <f>'BCDTRtSY-state-adjusted'!Q6</f>
        <v>1.1054896321715251</v>
      </c>
      <c r="R3">
        <f>'BCDTRtSY-state-adjusted'!R6</f>
        <v>1.1123245894448821</v>
      </c>
      <c r="S3">
        <f>'BCDTRtSY-state-adjusted'!S6</f>
        <v>1.1183494717800808</v>
      </c>
      <c r="T3">
        <f>'BCDTRtSY-state-adjusted'!T6</f>
        <v>1.1243338010125687</v>
      </c>
      <c r="U3">
        <f>'BCDTRtSY-state-adjusted'!U6</f>
        <v>1.1299828484474082</v>
      </c>
      <c r="V3">
        <f>'BCDTRtSY-state-adjusted'!V6</f>
        <v>1.135513390443402</v>
      </c>
      <c r="W3">
        <f>'BCDTRtSY-state-adjusted'!W6</f>
        <v>1.1409318459033373</v>
      </c>
      <c r="X3">
        <f>'BCDTRtSY-state-adjusted'!X6</f>
        <v>1.1459534972992902</v>
      </c>
      <c r="Y3">
        <f>'BCDTRtSY-state-adjusted'!Y6</f>
        <v>1.1508576508526724</v>
      </c>
      <c r="Z3">
        <f>'BCDTRtSY-state-adjusted'!Z6</f>
        <v>1.1553652121873237</v>
      </c>
      <c r="AA3">
        <f>'BCDTRtSY-state-adjusted'!AA6</f>
        <v>1.1596853233692779</v>
      </c>
      <c r="AB3">
        <f>'BCDTRtSY-state-adjusted'!AB6</f>
        <v>1.1639260949919739</v>
      </c>
    </row>
    <row r="4" spans="1:28">
      <c r="A4" t="s">
        <v>116</v>
      </c>
      <c r="B4">
        <f>'BCDTRtSY-state-adjusted'!B7</f>
        <v>1</v>
      </c>
      <c r="C4">
        <f>'BCDTRtSY-state-adjusted'!C7</f>
        <v>1</v>
      </c>
      <c r="D4">
        <f>'BCDTRtSY-state-adjusted'!D7</f>
        <v>1.0284414105073516</v>
      </c>
      <c r="E4">
        <f>'BCDTRtSY-state-adjusted'!E7</f>
        <v>1.0442194737366672</v>
      </c>
      <c r="F4">
        <f>'BCDTRtSY-state-adjusted'!F7</f>
        <v>1.0492286843232768</v>
      </c>
      <c r="G4">
        <f>'BCDTRtSY-state-adjusted'!G7</f>
        <v>1.0589911924279614</v>
      </c>
      <c r="H4">
        <f>'BCDTRtSY-state-adjusted'!H7</f>
        <v>1.0727919866970925</v>
      </c>
      <c r="I4">
        <f>'BCDTRtSY-state-adjusted'!I7</f>
        <v>1.0924199822411786</v>
      </c>
      <c r="J4">
        <f>'BCDTRtSY-state-adjusted'!J7</f>
        <v>1.1164996775632272</v>
      </c>
      <c r="K4">
        <f>'BCDTRtSY-state-adjusted'!K7</f>
        <v>1.1426072632911111</v>
      </c>
      <c r="L4">
        <f>'BCDTRtSY-state-adjusted'!L7</f>
        <v>1.171226236305261</v>
      </c>
      <c r="M4">
        <f>'BCDTRtSY-state-adjusted'!M7</f>
        <v>1.2025795740879255</v>
      </c>
      <c r="N4">
        <f>'BCDTRtSY-state-adjusted'!N7</f>
        <v>1.2271285352911434</v>
      </c>
      <c r="O4">
        <f>'BCDTRtSY-state-adjusted'!O7</f>
        <v>1.2518934477067292</v>
      </c>
      <c r="P4">
        <f>'BCDTRtSY-state-adjusted'!P7</f>
        <v>1.2765468739663572</v>
      </c>
      <c r="Q4">
        <f>'BCDTRtSY-state-adjusted'!Q7</f>
        <v>1.3003301805202803</v>
      </c>
      <c r="R4">
        <f>'BCDTRtSY-state-adjusted'!R7</f>
        <v>1.3247033758922471</v>
      </c>
      <c r="S4">
        <f>'BCDTRtSY-state-adjusted'!S7</f>
        <v>1.3477519035368155</v>
      </c>
      <c r="T4">
        <f>'BCDTRtSY-state-adjusted'!T7</f>
        <v>1.3720461744042163</v>
      </c>
      <c r="U4">
        <f>'BCDTRtSY-state-adjusted'!U7</f>
        <v>1.3978477404123071</v>
      </c>
      <c r="V4">
        <f>'BCDTRtSY-state-adjusted'!V7</f>
        <v>1.4237092263981013</v>
      </c>
      <c r="W4">
        <f>'BCDTRtSY-state-adjusted'!W7</f>
        <v>1.4498522892183185</v>
      </c>
      <c r="X4">
        <f>'BCDTRtSY-state-adjusted'!X7</f>
        <v>1.47508016442976</v>
      </c>
      <c r="Y4">
        <f>'BCDTRtSY-state-adjusted'!Y7</f>
        <v>1.4983852326176439</v>
      </c>
      <c r="Z4">
        <f>'BCDTRtSY-state-adjusted'!Z7</f>
        <v>1.5220026043334667</v>
      </c>
      <c r="AA4">
        <f>'BCDTRtSY-state-adjusted'!AA7</f>
        <v>1.5446221027757532</v>
      </c>
      <c r="AB4">
        <f>'BCDTRtSY-state-adjusted'!AB7</f>
        <v>1.5678763071883377</v>
      </c>
    </row>
    <row r="5" spans="1:28">
      <c r="A5" t="s">
        <v>121</v>
      </c>
      <c r="B5">
        <f>'BCDTRtSY-state-adjusted'!B8</f>
        <v>1</v>
      </c>
      <c r="C5">
        <f>'BCDTRtSY-state-adjusted'!C8</f>
        <v>1</v>
      </c>
      <c r="D5">
        <f>'BCDTRtSY-state-adjusted'!D8</f>
        <v>1.0607108081795353</v>
      </c>
      <c r="E5">
        <f>'BCDTRtSY-state-adjusted'!E8</f>
        <v>1.1048196791968685</v>
      </c>
      <c r="F5">
        <f>'BCDTRtSY-state-adjusted'!F8</f>
        <v>1.1372757734267769</v>
      </c>
      <c r="G5">
        <f>'BCDTRtSY-state-adjusted'!G8</f>
        <v>1.1648126409139523</v>
      </c>
      <c r="H5">
        <f>'BCDTRtSY-state-adjusted'!H8</f>
        <v>1.1876543613950528</v>
      </c>
      <c r="I5">
        <f>'BCDTRtSY-state-adjusted'!I8</f>
        <v>1.2137223723894841</v>
      </c>
      <c r="J5">
        <f>'BCDTRtSY-state-adjusted'!J8</f>
        <v>1.2377652090047055</v>
      </c>
      <c r="K5">
        <f>'BCDTRtSY-state-adjusted'!K8</f>
        <v>1.2628020313523181</v>
      </c>
      <c r="L5">
        <f>'BCDTRtSY-state-adjusted'!L8</f>
        <v>1.2829294503045918</v>
      </c>
      <c r="M5">
        <f>'BCDTRtSY-state-adjusted'!M8</f>
        <v>1.3031262184605112</v>
      </c>
      <c r="N5">
        <f>'BCDTRtSY-state-adjusted'!N8</f>
        <v>1.3196808608327293</v>
      </c>
      <c r="O5">
        <f>'BCDTRtSY-state-adjusted'!O8</f>
        <v>1.3371860985380302</v>
      </c>
      <c r="P5">
        <f>'BCDTRtSY-state-adjusted'!P8</f>
        <v>1.3534536129780657</v>
      </c>
      <c r="Q5">
        <f>'BCDTRtSY-state-adjusted'!Q8</f>
        <v>1.367039904597223</v>
      </c>
      <c r="R5">
        <f>'BCDTRtSY-state-adjusted'!R8</f>
        <v>1.3810387739547492</v>
      </c>
      <c r="S5">
        <f>'BCDTRtSY-state-adjusted'!S8</f>
        <v>1.3934927786132658</v>
      </c>
      <c r="T5">
        <f>'BCDTRtSY-state-adjusted'!T8</f>
        <v>1.4060204982750857</v>
      </c>
      <c r="U5">
        <f>'BCDTRtSY-state-adjusted'!U8</f>
        <v>1.416990053754513</v>
      </c>
      <c r="V5">
        <f>'BCDTRtSY-state-adjusted'!V8</f>
        <v>1.4288375058447904</v>
      </c>
      <c r="W5">
        <f>'BCDTRtSY-state-adjusted'!W8</f>
        <v>1.4414080182679641</v>
      </c>
      <c r="X5">
        <f>'BCDTRtSY-state-adjusted'!X8</f>
        <v>1.4523224598218214</v>
      </c>
      <c r="Y5">
        <f>'BCDTRtSY-state-adjusted'!Y8</f>
        <v>1.4640290507107732</v>
      </c>
      <c r="Z5">
        <f>'BCDTRtSY-state-adjusted'!Z8</f>
        <v>1.4733477318134378</v>
      </c>
      <c r="AA5">
        <f>'BCDTRtSY-state-adjusted'!AA8</f>
        <v>1.482251251162394</v>
      </c>
      <c r="AB5">
        <f>'BCDTRtSY-state-adjusted'!AB8</f>
        <v>1.4908495525281045</v>
      </c>
    </row>
    <row r="6" spans="1:28">
      <c r="A6" t="s">
        <v>122</v>
      </c>
      <c r="B6">
        <f>'BCDTRtSY-state-adjusted'!B9</f>
        <v>1</v>
      </c>
      <c r="C6">
        <f>'BCDTRtSY-state-adjusted'!C9</f>
        <v>1</v>
      </c>
      <c r="D6">
        <f>'BCDTRtSY-state-adjusted'!D9</f>
        <v>0.99911800949472485</v>
      </c>
      <c r="E6">
        <f>'BCDTRtSY-state-adjusted'!E9</f>
        <v>0.99120457978781695</v>
      </c>
      <c r="F6">
        <f>'BCDTRtSY-state-adjusted'!F9</f>
        <v>0.9774299538144432</v>
      </c>
      <c r="G6">
        <f>'BCDTRtSY-state-adjusted'!G9</f>
        <v>0.96614723662372159</v>
      </c>
      <c r="H6">
        <f>'BCDTRtSY-state-adjusted'!H9</f>
        <v>0.95718715957564471</v>
      </c>
      <c r="I6">
        <f>'BCDTRtSY-state-adjusted'!I9</f>
        <v>0.95376443792364773</v>
      </c>
      <c r="J6">
        <f>'BCDTRtSY-state-adjusted'!J9</f>
        <v>0.95258850549790153</v>
      </c>
      <c r="K6">
        <f>'BCDTRtSY-state-adjusted'!K9</f>
        <v>0.95255133528631941</v>
      </c>
      <c r="L6">
        <f>'BCDTRtSY-state-adjusted'!L9</f>
        <v>0.95371053095995251</v>
      </c>
      <c r="M6">
        <f>'BCDTRtSY-state-adjusted'!M9</f>
        <v>0.95613631674118804</v>
      </c>
      <c r="N6">
        <f>'BCDTRtSY-state-adjusted'!N9</f>
        <v>0.95555439132196174</v>
      </c>
      <c r="O6">
        <f>'BCDTRtSY-state-adjusted'!O9</f>
        <v>0.9549667878968523</v>
      </c>
      <c r="P6">
        <f>'BCDTRtSY-state-adjusted'!P9</f>
        <v>0.95417004631272295</v>
      </c>
      <c r="Q6">
        <f>'BCDTRtSY-state-adjusted'!Q9</f>
        <v>0.95325764392551959</v>
      </c>
      <c r="R6">
        <f>'BCDTRtSY-state-adjusted'!R9</f>
        <v>0.95239544560684908</v>
      </c>
      <c r="S6">
        <f>'BCDTRtSY-state-adjusted'!S9</f>
        <v>0.9506986316540238</v>
      </c>
      <c r="T6">
        <f>'BCDTRtSY-state-adjusted'!T9</f>
        <v>0.94939406170737284</v>
      </c>
      <c r="U6">
        <f>'BCDTRtSY-state-adjusted'!U9</f>
        <v>0.94835359054945245</v>
      </c>
      <c r="V6">
        <f>'BCDTRtSY-state-adjusted'!V9</f>
        <v>0.94727640535160829</v>
      </c>
      <c r="W6">
        <f>'BCDTRtSY-state-adjusted'!W9</f>
        <v>0.94612877101646808</v>
      </c>
      <c r="X6">
        <f>'BCDTRtSY-state-adjusted'!X9</f>
        <v>0.94445767823189064</v>
      </c>
      <c r="Y6">
        <f>'BCDTRtSY-state-adjusted'!Y9</f>
        <v>0.94207042751685155</v>
      </c>
      <c r="Z6">
        <f>'BCDTRtSY-state-adjusted'!Z9</f>
        <v>0.93949143615219333</v>
      </c>
      <c r="AA6">
        <f>'BCDTRtSY-state-adjusted'!AA9</f>
        <v>0.936473943609754</v>
      </c>
      <c r="AB6">
        <f>'BCDTRtSY-state-adjusted'!AB9</f>
        <v>0.933694754795384</v>
      </c>
    </row>
    <row r="7" spans="1:28">
      <c r="A7" t="s">
        <v>123</v>
      </c>
      <c r="B7">
        <f>'BCDTRtSY-state-adjusted'!B10</f>
        <v>1</v>
      </c>
      <c r="C7">
        <f>'BCDTRtSY-state-adjusted'!C10</f>
        <v>1</v>
      </c>
      <c r="D7">
        <f>'BCDTRtSY-state-adjusted'!D10</f>
        <v>1.0030510774185104</v>
      </c>
      <c r="E7">
        <f>'BCDTRtSY-state-adjusted'!E10</f>
        <v>1.0082757478302977</v>
      </c>
      <c r="F7">
        <f>'BCDTRtSY-state-adjusted'!F10</f>
        <v>1.0105670920194902</v>
      </c>
      <c r="G7">
        <f>'BCDTRtSY-state-adjusted'!G10</f>
        <v>1.0126487545160912</v>
      </c>
      <c r="H7">
        <f>'BCDTRtSY-state-adjusted'!H10</f>
        <v>1.0137103072976605</v>
      </c>
      <c r="I7">
        <f>'BCDTRtSY-state-adjusted'!I10</f>
        <v>1.0212313023915636</v>
      </c>
      <c r="J7">
        <f>'BCDTRtSY-state-adjusted'!J10</f>
        <v>1.0288174456755128</v>
      </c>
      <c r="K7">
        <f>'BCDTRtSY-state-adjusted'!K10</f>
        <v>1.0348886323177999</v>
      </c>
      <c r="L7">
        <f>'BCDTRtSY-state-adjusted'!L10</f>
        <v>1.0413208917896424</v>
      </c>
      <c r="M7">
        <f>'BCDTRtSY-state-adjusted'!M10</f>
        <v>1.0468463712408829</v>
      </c>
      <c r="N7">
        <f>'BCDTRtSY-state-adjusted'!N10</f>
        <v>1.0531837258346923</v>
      </c>
      <c r="O7">
        <f>'BCDTRtSY-state-adjusted'!O10</f>
        <v>1.0599832909677624</v>
      </c>
      <c r="P7">
        <f>'BCDTRtSY-state-adjusted'!P10</f>
        <v>1.0667627700303077</v>
      </c>
      <c r="Q7">
        <f>'BCDTRtSY-state-adjusted'!Q10</f>
        <v>1.0728126606474271</v>
      </c>
      <c r="R7">
        <f>'BCDTRtSY-state-adjusted'!R10</f>
        <v>1.0791017305961452</v>
      </c>
      <c r="S7">
        <f>'BCDTRtSY-state-adjusted'!S10</f>
        <v>1.0847841781505068</v>
      </c>
      <c r="T7">
        <f>'BCDTRtSY-state-adjusted'!T10</f>
        <v>1.0901982618016508</v>
      </c>
      <c r="U7">
        <f>'BCDTRtSY-state-adjusted'!U10</f>
        <v>1.0953761904576287</v>
      </c>
      <c r="V7">
        <f>'BCDTRtSY-state-adjusted'!V10</f>
        <v>1.1009084047107445</v>
      </c>
      <c r="W7">
        <f>'BCDTRtSY-state-adjusted'!W10</f>
        <v>1.1063087795095958</v>
      </c>
      <c r="X7">
        <f>'BCDTRtSY-state-adjusted'!X10</f>
        <v>1.1112276537018899</v>
      </c>
      <c r="Y7">
        <f>'BCDTRtSY-state-adjusted'!Y10</f>
        <v>1.1153756665340038</v>
      </c>
      <c r="Z7">
        <f>'BCDTRtSY-state-adjusted'!Z10</f>
        <v>1.1194648934215379</v>
      </c>
      <c r="AA7">
        <f>'BCDTRtSY-state-adjusted'!AA10</f>
        <v>1.1233841002098888</v>
      </c>
      <c r="AB7">
        <f>'BCDTRtSY-state-adjusted'!AB10</f>
        <v>1.1277240786050433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0.99327641811853074</v>
      </c>
      <c r="E2">
        <f>'BCDTRtSY-state-adjusted'!E13</f>
        <v>0.99202738525701528</v>
      </c>
      <c r="F2">
        <f>'BCDTRtSY-state-adjusted'!F13</f>
        <v>0.99042428983371045</v>
      </c>
      <c r="G2">
        <f>'BCDTRtSY-state-adjusted'!G13</f>
        <v>0.9899934447271812</v>
      </c>
      <c r="H2">
        <f>'BCDTRtSY-state-adjusted'!H13</f>
        <v>0.99429557656591672</v>
      </c>
      <c r="I2">
        <f>'BCDTRtSY-state-adjusted'!I13</f>
        <v>1.0034535488495375</v>
      </c>
      <c r="J2">
        <f>'BCDTRtSY-state-adjusted'!J13</f>
        <v>1.0144457986935844</v>
      </c>
      <c r="K2">
        <f>'BCDTRtSY-state-adjusted'!K13</f>
        <v>1.0241976626226665</v>
      </c>
      <c r="L2">
        <f>'BCDTRtSY-state-adjusted'!L13</f>
        <v>1.0359454069794407</v>
      </c>
      <c r="M2">
        <f>'BCDTRtSY-state-adjusted'!M13</f>
        <v>1.0484777754673009</v>
      </c>
      <c r="N2">
        <f>'BCDTRtSY-state-adjusted'!N13</f>
        <v>1.0614312351002066</v>
      </c>
      <c r="O2">
        <f>'BCDTRtSY-state-adjusted'!O13</f>
        <v>1.0757576658012016</v>
      </c>
      <c r="P2">
        <f>'BCDTRtSY-state-adjusted'!P13</f>
        <v>1.0914451517115702</v>
      </c>
      <c r="Q2">
        <f>'BCDTRtSY-state-adjusted'!Q13</f>
        <v>1.1076161945980785</v>
      </c>
      <c r="R2">
        <f>'BCDTRtSY-state-adjusted'!R13</f>
        <v>1.1244301482163142</v>
      </c>
      <c r="S2">
        <f>'BCDTRtSY-state-adjusted'!S13</f>
        <v>1.1402910768163024</v>
      </c>
      <c r="T2">
        <f>'BCDTRtSY-state-adjusted'!T13</f>
        <v>1.1556165592758085</v>
      </c>
      <c r="U2">
        <f>'BCDTRtSY-state-adjusted'!U13</f>
        <v>1.1683380958940768</v>
      </c>
      <c r="V2">
        <f>'BCDTRtSY-state-adjusted'!V13</f>
        <v>1.1808512300163005</v>
      </c>
      <c r="W2">
        <f>'BCDTRtSY-state-adjusted'!W13</f>
        <v>1.1948887721692527</v>
      </c>
      <c r="X2">
        <f>'BCDTRtSY-state-adjusted'!X13</f>
        <v>1.2095161379342847</v>
      </c>
      <c r="Y2">
        <f>'BCDTRtSY-state-adjusted'!Y13</f>
        <v>1.2249734261218319</v>
      </c>
      <c r="Z2">
        <f>'BCDTRtSY-state-adjusted'!Z13</f>
        <v>1.2391530196909735</v>
      </c>
      <c r="AA2">
        <f>'BCDTRtSY-state-adjusted'!AA13</f>
        <v>1.2542666938971201</v>
      </c>
      <c r="AB2">
        <f>'BCDTRtSY-state-adjusted'!AB13</f>
        <v>1.2686505667448564</v>
      </c>
    </row>
    <row r="3" spans="1:28">
      <c r="A3" t="s">
        <v>118</v>
      </c>
      <c r="B3">
        <f>'BCDTRtSY-state-adjusted'!B14</f>
        <v>1</v>
      </c>
      <c r="C3">
        <f>'BCDTRtSY-state-adjusted'!C14</f>
        <v>1</v>
      </c>
      <c r="D3">
        <f>'BCDTRtSY-state-adjusted'!D14</f>
        <v>1.0078792632635347</v>
      </c>
      <c r="E3">
        <f>'BCDTRtSY-state-adjusted'!E14</f>
        <v>1.0199386173894605</v>
      </c>
      <c r="F3">
        <f>'BCDTRtSY-state-adjusted'!F14</f>
        <v>1.031083610044915</v>
      </c>
      <c r="G3">
        <f>'BCDTRtSY-state-adjusted'!G14</f>
        <v>1.0396075516869294</v>
      </c>
      <c r="H3">
        <f>'BCDTRtSY-state-adjusted'!H14</f>
        <v>1.0504399931200599</v>
      </c>
      <c r="I3">
        <f>'BCDTRtSY-state-adjusted'!I14</f>
        <v>1.0634674243267925</v>
      </c>
      <c r="J3">
        <f>'BCDTRtSY-state-adjusted'!J14</f>
        <v>1.0774774303942209</v>
      </c>
      <c r="K3">
        <f>'BCDTRtSY-state-adjusted'!K14</f>
        <v>1.0893690828611535</v>
      </c>
      <c r="L3">
        <f>'BCDTRtSY-state-adjusted'!L14</f>
        <v>1.1025866598169318</v>
      </c>
      <c r="M3">
        <f>'BCDTRtSY-state-adjusted'!M14</f>
        <v>1.1157373210713586</v>
      </c>
      <c r="N3">
        <f>'BCDTRtSY-state-adjusted'!N14</f>
        <v>1.128139929860551</v>
      </c>
      <c r="O3">
        <f>'BCDTRtSY-state-adjusted'!O14</f>
        <v>1.1398885323545436</v>
      </c>
      <c r="P3">
        <f>'BCDTRtSY-state-adjusted'!P14</f>
        <v>1.1506499966608068</v>
      </c>
      <c r="Q3">
        <f>'BCDTRtSY-state-adjusted'!Q14</f>
        <v>1.1608662994566155</v>
      </c>
      <c r="R3">
        <f>'BCDTRtSY-state-adjusted'!R14</f>
        <v>1.1713061625468848</v>
      </c>
      <c r="S3">
        <f>'BCDTRtSY-state-adjusted'!S14</f>
        <v>1.1814826192445189</v>
      </c>
      <c r="T3">
        <f>'BCDTRtSY-state-adjusted'!T14</f>
        <v>1.1911475353224024</v>
      </c>
      <c r="U3">
        <f>'BCDTRtSY-state-adjusted'!U14</f>
        <v>1.1997793624793796</v>
      </c>
      <c r="V3">
        <f>'BCDTRtSY-state-adjusted'!V14</f>
        <v>1.2087765374354298</v>
      </c>
      <c r="W3">
        <f>'BCDTRtSY-state-adjusted'!W14</f>
        <v>1.219804110492914</v>
      </c>
      <c r="X3">
        <f>'BCDTRtSY-state-adjusted'!X14</f>
        <v>1.2311092539518709</v>
      </c>
      <c r="Y3">
        <f>'BCDTRtSY-state-adjusted'!Y14</f>
        <v>1.2423665651485756</v>
      </c>
      <c r="Z3">
        <f>'BCDTRtSY-state-adjusted'!Z14</f>
        <v>1.2513815848712209</v>
      </c>
      <c r="AA3">
        <f>'BCDTRtSY-state-adjusted'!AA14</f>
        <v>1.2603458733073567</v>
      </c>
      <c r="AB3">
        <f>'BCDTRtSY-state-adjusted'!AB14</f>
        <v>1.2687263648860694</v>
      </c>
    </row>
    <row r="4" spans="1:28">
      <c r="A4" t="s">
        <v>116</v>
      </c>
      <c r="B4">
        <f>'BCDTRtSY-state-adjusted'!B15</f>
        <v>1</v>
      </c>
      <c r="C4">
        <f>'BCDTRtSY-state-adjusted'!C15</f>
        <v>1</v>
      </c>
      <c r="D4">
        <f>'BCDTRtSY-state-adjusted'!D15</f>
        <v>1.0239036203836547</v>
      </c>
      <c r="E4">
        <f>'BCDTRtSY-state-adjusted'!E15</f>
        <v>1.0399611805314974</v>
      </c>
      <c r="F4">
        <f>'BCDTRtSY-state-adjusted'!F15</f>
        <v>1.0495297049431962</v>
      </c>
      <c r="G4">
        <f>'BCDTRtSY-state-adjusted'!G15</f>
        <v>1.0627149304209333</v>
      </c>
      <c r="H4">
        <f>'BCDTRtSY-state-adjusted'!H15</f>
        <v>1.0787822825770343</v>
      </c>
      <c r="I4">
        <f>'BCDTRtSY-state-adjusted'!I15</f>
        <v>1.10125054456862</v>
      </c>
      <c r="J4">
        <f>'BCDTRtSY-state-adjusted'!J15</f>
        <v>1.1269702926389646</v>
      </c>
      <c r="K4">
        <f>'BCDTRtSY-state-adjusted'!K15</f>
        <v>1.1543360954815574</v>
      </c>
      <c r="L4">
        <f>'BCDTRtSY-state-adjusted'!L15</f>
        <v>1.1836768515373568</v>
      </c>
      <c r="M4">
        <f>'BCDTRtSY-state-adjusted'!M15</f>
        <v>1.2151337447576309</v>
      </c>
      <c r="N4">
        <f>'BCDTRtSY-state-adjusted'!N15</f>
        <v>1.2422481724597387</v>
      </c>
      <c r="O4">
        <f>'BCDTRtSY-state-adjusted'!O15</f>
        <v>1.2697375056346807</v>
      </c>
      <c r="P4">
        <f>'BCDTRtSY-state-adjusted'!P15</f>
        <v>1.2973734108434651</v>
      </c>
      <c r="Q4">
        <f>'BCDTRtSY-state-adjusted'!Q15</f>
        <v>1.3246253026707293</v>
      </c>
      <c r="R4">
        <f>'BCDTRtSY-state-adjusted'!R15</f>
        <v>1.3525098180973032</v>
      </c>
      <c r="S4">
        <f>'BCDTRtSY-state-adjusted'!S15</f>
        <v>1.3796628529155344</v>
      </c>
      <c r="T4">
        <f>'BCDTRtSY-state-adjusted'!T15</f>
        <v>1.4078790136152979</v>
      </c>
      <c r="U4">
        <f>'BCDTRtSY-state-adjusted'!U15</f>
        <v>1.437347979806463</v>
      </c>
      <c r="V4">
        <f>'BCDTRtSY-state-adjusted'!V15</f>
        <v>1.4670777665513357</v>
      </c>
      <c r="W4">
        <f>'BCDTRtSY-state-adjusted'!W15</f>
        <v>1.4972202703496471</v>
      </c>
      <c r="X4">
        <f>'BCDTRtSY-state-adjusted'!X15</f>
        <v>1.5269496262501641</v>
      </c>
      <c r="Y4">
        <f>'BCDTRtSY-state-adjusted'!Y15</f>
        <v>1.555555165939573</v>
      </c>
      <c r="Z4">
        <f>'BCDTRtSY-state-adjusted'!Z15</f>
        <v>1.5846052346958639</v>
      </c>
      <c r="AA4">
        <f>'BCDTRtSY-state-adjusted'!AA15</f>
        <v>1.6131853261335478</v>
      </c>
      <c r="AB4">
        <f>'BCDTRtSY-state-adjusted'!AB15</f>
        <v>1.6424628179137604</v>
      </c>
    </row>
    <row r="5" spans="1:28">
      <c r="A5" t="s">
        <v>121</v>
      </c>
      <c r="B5">
        <f>'BCDTRtSY-state-adjusted'!B16</f>
        <v>1</v>
      </c>
      <c r="C5">
        <f>'BCDTRtSY-state-adjusted'!C16</f>
        <v>1</v>
      </c>
      <c r="D5">
        <f>'BCDTRtSY-state-adjusted'!D16</f>
        <v>0.97448553926762316</v>
      </c>
      <c r="E5">
        <f>'BCDTRtSY-state-adjusted'!E16</f>
        <v>1.003036858740282</v>
      </c>
      <c r="F5">
        <f>'BCDTRtSY-state-adjusted'!F16</f>
        <v>0.97967757048129323</v>
      </c>
      <c r="G5">
        <f>'BCDTRtSY-state-adjusted'!G16</f>
        <v>0.96919734006042269</v>
      </c>
      <c r="H5">
        <f>'BCDTRtSY-state-adjusted'!H16</f>
        <v>0.97290566000089462</v>
      </c>
      <c r="I5">
        <f>'BCDTRtSY-state-adjusted'!I16</f>
        <v>0.95123348094740767</v>
      </c>
      <c r="J5">
        <f>'BCDTRtSY-state-adjusted'!J16</f>
        <v>0.95850491895372258</v>
      </c>
      <c r="K5">
        <f>'BCDTRtSY-state-adjusted'!K16</f>
        <v>0.96593994627249802</v>
      </c>
      <c r="L5">
        <f>'BCDTRtSY-state-adjusted'!L16</f>
        <v>0.96645667105145683</v>
      </c>
      <c r="M5">
        <f>'BCDTRtSY-state-adjusted'!M16</f>
        <v>0.97286885052247052</v>
      </c>
      <c r="N5">
        <f>'BCDTRtSY-state-adjusted'!N16</f>
        <v>0.97842368281916159</v>
      </c>
      <c r="O5">
        <f>'BCDTRtSY-state-adjusted'!O16</f>
        <v>0.98537624629296239</v>
      </c>
      <c r="P5">
        <f>'BCDTRtSY-state-adjusted'!P16</f>
        <v>0.98901317793611754</v>
      </c>
      <c r="Q5">
        <f>'BCDTRtSY-state-adjusted'!Q16</f>
        <v>0.99423735878333908</v>
      </c>
      <c r="R5">
        <f>'BCDTRtSY-state-adjusted'!R16</f>
        <v>0.99844575224543464</v>
      </c>
      <c r="S5">
        <f>'BCDTRtSY-state-adjusted'!S16</f>
        <v>1.0007186709192635</v>
      </c>
      <c r="T5">
        <f>'BCDTRtSY-state-adjusted'!T16</f>
        <v>1.0007886473212333</v>
      </c>
      <c r="U5">
        <f>'BCDTRtSY-state-adjusted'!U16</f>
        <v>1.0014888575761267</v>
      </c>
      <c r="V5">
        <f>'BCDTRtSY-state-adjusted'!V16</f>
        <v>1.0047328010174079</v>
      </c>
      <c r="W5">
        <f>'BCDTRtSY-state-adjusted'!W16</f>
        <v>1.0073481738780639</v>
      </c>
      <c r="X5">
        <f>'BCDTRtSY-state-adjusted'!X16</f>
        <v>1.0125865714351658</v>
      </c>
      <c r="Y5">
        <f>'BCDTRtSY-state-adjusted'!Y16</f>
        <v>1.0216937672164181</v>
      </c>
      <c r="Z5">
        <f>'BCDTRtSY-state-adjusted'!Z16</f>
        <v>1.0280757266655838</v>
      </c>
      <c r="AA5">
        <f>'BCDTRtSY-state-adjusted'!AA16</f>
        <v>1.0282761696042912</v>
      </c>
      <c r="AB5">
        <f>'BCDTRtSY-state-adjusted'!AB16</f>
        <v>1.0291564882417599</v>
      </c>
    </row>
    <row r="6" spans="1:28">
      <c r="A6" t="s">
        <v>122</v>
      </c>
      <c r="B6">
        <f>'BCDTRtSY-state-adjusted'!B17</f>
        <v>1</v>
      </c>
      <c r="C6">
        <f>'BCDTRtSY-state-adjusted'!C17</f>
        <v>1</v>
      </c>
      <c r="D6">
        <f>'BCDTRtSY-state-adjusted'!D17</f>
        <v>0.98931449682915518</v>
      </c>
      <c r="E6">
        <f>'BCDTRtSY-state-adjusted'!E17</f>
        <v>1.0055391679725412</v>
      </c>
      <c r="F6">
        <f>'BCDTRtSY-state-adjusted'!F17</f>
        <v>1.0236839424838344</v>
      </c>
      <c r="G6">
        <f>'BCDTRtSY-state-adjusted'!G17</f>
        <v>1.0384003460862186</v>
      </c>
      <c r="H6">
        <f>'BCDTRtSY-state-adjusted'!H17</f>
        <v>1.0539496485237934</v>
      </c>
      <c r="I6">
        <f>'BCDTRtSY-state-adjusted'!I17</f>
        <v>1.0746897800392883</v>
      </c>
      <c r="J6">
        <f>'BCDTRtSY-state-adjusted'!J17</f>
        <v>1.097576238534268</v>
      </c>
      <c r="K6">
        <f>'BCDTRtSY-state-adjusted'!K17</f>
        <v>1.120878118177578</v>
      </c>
      <c r="L6">
        <f>'BCDTRtSY-state-adjusted'!L17</f>
        <v>1.1450254400031525</v>
      </c>
      <c r="M6">
        <f>'BCDTRtSY-state-adjusted'!M17</f>
        <v>1.1703167712849025</v>
      </c>
      <c r="N6">
        <f>'BCDTRtSY-state-adjusted'!N17</f>
        <v>1.1916833943452851</v>
      </c>
      <c r="O6">
        <f>'BCDTRtSY-state-adjusted'!O17</f>
        <v>1.2097567404945306</v>
      </c>
      <c r="P6">
        <f>'BCDTRtSY-state-adjusted'!P17</f>
        <v>1.2278992380836486</v>
      </c>
      <c r="Q6">
        <f>'BCDTRtSY-state-adjusted'!Q17</f>
        <v>1.2449091873082969</v>
      </c>
      <c r="R6">
        <f>'BCDTRtSY-state-adjusted'!R17</f>
        <v>1.2620717902121643</v>
      </c>
      <c r="S6">
        <f>'BCDTRtSY-state-adjusted'!S17</f>
        <v>1.2788653618757133</v>
      </c>
      <c r="T6">
        <f>'BCDTRtSY-state-adjusted'!T17</f>
        <v>1.2968373194497589</v>
      </c>
      <c r="U6">
        <f>'BCDTRtSY-state-adjusted'!U17</f>
        <v>1.3144538576548577</v>
      </c>
      <c r="V6">
        <f>'BCDTRtSY-state-adjusted'!V17</f>
        <v>1.3319940334550884</v>
      </c>
      <c r="W6">
        <f>'BCDTRtSY-state-adjusted'!W17</f>
        <v>1.3510293562265343</v>
      </c>
      <c r="X6">
        <f>'BCDTRtSY-state-adjusted'!X17</f>
        <v>1.3703165907507313</v>
      </c>
      <c r="Y6">
        <f>'BCDTRtSY-state-adjusted'!Y17</f>
        <v>1.3898943284634251</v>
      </c>
      <c r="Z6">
        <f>'BCDTRtSY-state-adjusted'!Z17</f>
        <v>1.408745974145468</v>
      </c>
      <c r="AA6">
        <f>'BCDTRtSY-state-adjusted'!AA17</f>
        <v>1.4273537068738327</v>
      </c>
      <c r="AB6">
        <f>'BCDTRtSY-state-adjusted'!AB17</f>
        <v>1.4475780379185517</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2026-08-14T21:48:42Z</dcterms:modified>
</cp:coreProperties>
</file>