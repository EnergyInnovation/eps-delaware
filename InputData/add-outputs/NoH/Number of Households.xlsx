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DE\add-outputs\NoH\"/>
    </mc:Choice>
  </mc:AlternateContent>
  <xr:revisionPtr revIDLastSave="0" documentId="8_{6E220BAA-E29E-426F-B9FC-EB6857FEAFD9}"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B2" i="3"/>
  <c r="R2" i="3"/>
  <c r="U2" i="3"/>
  <c r="D2" i="3"/>
  <c r="Z2" i="3"/>
  <c r="J2" i="3"/>
  <c r="N2" i="3"/>
  <c r="P2" i="3"/>
  <c r="X2" i="3"/>
  <c r="E2" i="3"/>
  <c r="AA2" i="3"/>
  <c r="AE2" i="3"/>
  <c r="Q2" i="3"/>
  <c r="F2" i="3"/>
  <c r="AB2" i="3"/>
  <c r="G2" i="3"/>
  <c r="AC2" i="3"/>
  <c r="O2" i="3"/>
  <c r="T2" i="3"/>
  <c r="W2" i="3"/>
  <c r="H2" i="3"/>
  <c r="AD2" i="3"/>
  <c r="I2" i="3"/>
  <c r="M2" i="3"/>
  <c r="S2" i="3"/>
  <c r="K2" i="3"/>
  <c r="L2" i="3"/>
  <c r="V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<sst xmlns="http://schemas.openxmlformats.org/spreadsheetml/2006/main" count="1069" uniqueCount="448">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</sst>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340</v>
      </c>
      <c r="C1" s="68">
        <v>46185</v>
      </c>
      <c r="H1" t="s">
        <v>324</v>
      </c>
      <c r="I1" t="s">
        <v>325</v>
      </c>
    </row>
    <row r="2" spans="1:9" x14ac:dyDescent="0.25">
      <c r="B2" t="str">
        <f>VLOOKUP(B1,H2:I52,2)</f>
        <v>DE</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398678.70425006707</v>
      </c>
      <c r="C2">
        <f>SUMIFS('state calcs'!C62:C112,'state calcs'!$A$62:$A$112,About!$B$2)</f>
        <v>405698.17972277256</v>
      </c>
      <c r="D2">
        <f>SUMIFS('state calcs'!D62:D112,'state calcs'!$A$62:$A$112,About!$B$2)</f>
        <v>410330.29687031609</v>
      </c>
      <c r="E2">
        <f>SUMIFS('state calcs'!E62:E112,'state calcs'!$A$62:$A$112,About!$B$2)</f>
        <v>414975.54742268519</v>
      </c>
      <c r="F2">
        <f>SUMIFS('state calcs'!F62:F112,'state calcs'!$A$62:$A$112,About!$B$2)</f>
        <v>419713.84333158715</v>
      </c>
      <c r="G2">
        <f>SUMIFS('state calcs'!G62:G112,'state calcs'!$A$62:$A$112,About!$B$2)</f>
        <v>424447.63625477644</v>
      </c>
      <c r="H2">
        <f>SUMIFS('state calcs'!H62:H112,'state calcs'!$A$62:$A$112,About!$B$2)</f>
        <v>429207.15755539632</v>
      </c>
      <c r="I2">
        <f>SUMIFS('state calcs'!I62:I112,'state calcs'!$A$62:$A$112,About!$B$2)</f>
        <v>434000.33900231519</v>
      </c>
      <c r="J2">
        <f>SUMIFS('state calcs'!J62:J112,'state calcs'!$A$62:$A$112,About!$B$2)</f>
        <v>438769.28673341684</v>
      </c>
      <c r="K2">
        <f>SUMIFS('state calcs'!K62:K112,'state calcs'!$A$62:$A$112,About!$B$2)</f>
        <v>443443.2192234518</v>
      </c>
      <c r="L2">
        <f>SUMIFS('state calcs'!L62:L112,'state calcs'!$A$62:$A$112,About!$B$2)</f>
        <v>448361.15643727838</v>
      </c>
      <c r="M2">
        <f>SUMIFS('state calcs'!M62:M112,'state calcs'!$A$62:$A$112,About!$B$2)</f>
        <v>453262.0688104438</v>
      </c>
      <c r="N2">
        <f>SUMIFS('state calcs'!N62:N112,'state calcs'!$A$62:$A$112,About!$B$2)</f>
        <v>458091.37784552405</v>
      </c>
      <c r="O2">
        <f>SUMIFS('state calcs'!O62:O112,'state calcs'!$A$62:$A$112,About!$B$2)</f>
        <v>462814.76345735998</v>
      </c>
      <c r="P2">
        <f>SUMIFS('state calcs'!P62:P112,'state calcs'!$A$62:$A$112,About!$B$2)</f>
        <v>467498.24152956175</v>
      </c>
      <c r="Q2">
        <f>SUMIFS('state calcs'!Q62:Q112,'state calcs'!$A$62:$A$112,About!$B$2)</f>
        <v>472195.81820381316</v>
      </c>
      <c r="R2">
        <f>SUMIFS('state calcs'!R62:R112,'state calcs'!$A$62:$A$112,About!$B$2)</f>
        <v>476879.3336135163</v>
      </c>
      <c r="S2">
        <f>SUMIFS('state calcs'!S62:S112,'state calcs'!$A$62:$A$112,About!$B$2)</f>
        <v>481556.48659539153</v>
      </c>
      <c r="T2">
        <f>SUMIFS('state calcs'!T62:T112,'state calcs'!$A$62:$A$112,About!$B$2)</f>
        <v>486216.06317373354</v>
      </c>
      <c r="U2">
        <f>SUMIFS('state calcs'!U62:U112,'state calcs'!$A$62:$A$112,About!$B$2)</f>
        <v>490924.19133186591</v>
      </c>
      <c r="V2">
        <f>SUMIFS('state calcs'!V62:V112,'state calcs'!$A$62:$A$112,About!$B$2)</f>
        <v>495625.8130811486</v>
      </c>
      <c r="W2">
        <f>SUMIFS('state calcs'!W62:W112,'state calcs'!$A$62:$A$112,About!$B$2)</f>
        <v>500283.37208123185</v>
      </c>
      <c r="X2">
        <f>SUMIFS('state calcs'!X62:X112,'state calcs'!$A$62:$A$112,About!$B$2)</f>
        <v>504923.4763214853</v>
      </c>
      <c r="Y2">
        <f>SUMIFS('state calcs'!Y62:Y112,'state calcs'!$A$62:$A$112,About!$B$2)</f>
        <v>509548.48312831722</v>
      </c>
      <c r="Z2">
        <f>SUMIFS('state calcs'!Z62:Z112,'state calcs'!$A$62:$A$112,About!$B$2)</f>
        <v>514161.81940184959</v>
      </c>
      <c r="AA2">
        <f>SUMIFS('state calcs'!AA62:AA112,'state calcs'!$A$62:$A$112,About!$B$2)</f>
        <v>518750.33854153741</v>
      </c>
      <c r="AB2">
        <f>SUMIFS('state calcs'!AB62:AB112,'state calcs'!$A$62:$A$112,About!$B$2)</f>
        <v>523335.69867232093</v>
      </c>
      <c r="AC2">
        <f>SUMIFS('state calcs'!AC62:AC112,'state calcs'!$A$62:$A$112,About!$B$2)</f>
        <v>527893.17749438714</v>
      </c>
      <c r="AD2">
        <f>SUMIFS('state calcs'!AD62:AD112,'state calcs'!$A$62:$A$112,About!$B$2)</f>
        <v>532418.84042435675</v>
      </c>
      <c r="AE2">
        <f>SUMIFS('state calcs'!AE62:AE112,'state calcs'!$A$62:$A$112,About!$B$2)</f>
        <v>536922.87271549471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2026-06-12T19:28:13Z</dcterms:modified>
</cp:coreProperties>
</file>