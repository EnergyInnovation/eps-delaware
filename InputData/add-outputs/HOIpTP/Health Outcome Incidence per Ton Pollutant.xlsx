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DE\add-outputs\HOIpTP\"/>
    </mc:Choice>
  </mc:AlternateContent>
  <xr:revisionPtr revIDLastSave="0" documentId="8_{CBE9C637-4DE7-4671-AF75-F6A76B6F0F0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P13" i="19"/>
  <c r="B13" i="19"/>
  <c r="J13" i="19" s="1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Q3" i="19"/>
  <c r="J3" i="19"/>
  <c r="F3" i="19"/>
  <c r="E3" i="19"/>
  <c r="B3" i="19"/>
  <c r="O3" i="19" s="1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T17" i="18"/>
  <c r="R17" i="18"/>
  <c r="Q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F8" i="18"/>
  <c r="E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H3" i="18" s="1"/>
  <c r="K2" i="18"/>
  <c r="B2" i="18"/>
  <c r="Z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D13" i="17"/>
  <c r="C13" i="17"/>
  <c r="B13" i="17"/>
  <c r="U13" i="17" s="1"/>
  <c r="T12" i="17"/>
  <c r="S12" i="17"/>
  <c r="O12" i="17"/>
  <c r="M12" i="17"/>
  <c r="J12" i="17"/>
  <c r="H12" i="17"/>
  <c r="G12" i="17"/>
  <c r="D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F8" i="17"/>
  <c r="D8" i="17"/>
  <c r="C8" i="17"/>
  <c r="B8" i="17"/>
  <c r="AB8" i="17" s="1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U17" i="16"/>
  <c r="B17" i="16"/>
  <c r="B16" i="16"/>
  <c r="AA15" i="16"/>
  <c r="B15" i="16"/>
  <c r="Y15" i="16" s="1"/>
  <c r="G14" i="16"/>
  <c r="F14" i="16"/>
  <c r="B14" i="16"/>
  <c r="AB14" i="16" s="1"/>
  <c r="X13" i="16"/>
  <c r="W13" i="16"/>
  <c r="J13" i="16"/>
  <c r="D13" i="16"/>
  <c r="B13" i="16"/>
  <c r="B12" i="16"/>
  <c r="Y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T7" i="16"/>
  <c r="R7" i="16"/>
  <c r="L7" i="16"/>
  <c r="H7" i="16"/>
  <c r="G7" i="16"/>
  <c r="C7" i="16"/>
  <c r="B7" i="16"/>
  <c r="W6" i="16"/>
  <c r="T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W3" i="16"/>
  <c r="R3" i="16"/>
  <c r="C3" i="16"/>
  <c r="B3" i="16"/>
  <c r="Z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S15" i="15"/>
  <c r="K15" i="15"/>
  <c r="I15" i="15"/>
  <c r="E15" i="15"/>
  <c r="C15" i="15"/>
  <c r="B15" i="15"/>
  <c r="G15" i="15" s="1"/>
  <c r="AB14" i="15"/>
  <c r="O14" i="15"/>
  <c r="N14" i="15"/>
  <c r="M14" i="15"/>
  <c r="E14" i="15"/>
  <c r="D14" i="15"/>
  <c r="B14" i="15"/>
  <c r="Q13" i="15"/>
  <c r="O13" i="15"/>
  <c r="N13" i="15"/>
  <c r="L13" i="15"/>
  <c r="K13" i="15"/>
  <c r="F13" i="15"/>
  <c r="B13" i="15"/>
  <c r="AB13" i="15" s="1"/>
  <c r="B12" i="15"/>
  <c r="G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A8" i="15"/>
  <c r="X8" i="15"/>
  <c r="R8" i="15"/>
  <c r="O8" i="15"/>
  <c r="K8" i="15"/>
  <c r="D8" i="15"/>
  <c r="B8" i="15"/>
  <c r="AB8" i="15" s="1"/>
  <c r="AB7" i="15"/>
  <c r="AA7" i="15"/>
  <c r="Z7" i="15"/>
  <c r="V7" i="15"/>
  <c r="S7" i="15"/>
  <c r="R7" i="15"/>
  <c r="N7" i="15"/>
  <c r="M7" i="15"/>
  <c r="L7" i="15"/>
  <c r="J7" i="15"/>
  <c r="I7" i="15"/>
  <c r="H7" i="15"/>
  <c r="G7" i="15"/>
  <c r="F7" i="15"/>
  <c r="E7" i="15"/>
  <c r="D7" i="15"/>
  <c r="C7" i="15"/>
  <c r="B7" i="15"/>
  <c r="X7" i="15" s="1"/>
  <c r="V6" i="15"/>
  <c r="Q6" i="15"/>
  <c r="P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Z3" i="15"/>
  <c r="W3" i="15"/>
  <c r="U3" i="15"/>
  <c r="M3" i="15"/>
  <c r="L3" i="15"/>
  <c r="K3" i="15"/>
  <c r="I3" i="15"/>
  <c r="G3" i="15"/>
  <c r="F3" i="15"/>
  <c r="D3" i="15"/>
  <c r="C3" i="15"/>
  <c r="B3" i="15"/>
  <c r="L2" i="15"/>
  <c r="J2" i="15"/>
  <c r="I2" i="15"/>
  <c r="H2" i="15"/>
  <c r="G2" i="15"/>
  <c r="F2" i="15"/>
  <c r="E2" i="15"/>
  <c r="D2" i="15"/>
  <c r="B2" i="15"/>
  <c r="AB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C17" i="14"/>
  <c r="B17" i="14"/>
  <c r="M17" i="14" s="1"/>
  <c r="H16" i="14"/>
  <c r="B16" i="14"/>
  <c r="AB15" i="14"/>
  <c r="Z15" i="14"/>
  <c r="W15" i="14"/>
  <c r="V15" i="14"/>
  <c r="U15" i="14"/>
  <c r="S15" i="14"/>
  <c r="R15" i="14"/>
  <c r="Q15" i="14"/>
  <c r="P15" i="14"/>
  <c r="O15" i="14"/>
  <c r="N15" i="14"/>
  <c r="M15" i="14"/>
  <c r="L15" i="14"/>
  <c r="K15" i="14"/>
  <c r="I15" i="14"/>
  <c r="H15" i="14"/>
  <c r="F15" i="14"/>
  <c r="E15" i="14"/>
  <c r="C15" i="14"/>
  <c r="B15" i="14"/>
  <c r="X15" i="14" s="1"/>
  <c r="AB14" i="14"/>
  <c r="S14" i="14"/>
  <c r="R14" i="14"/>
  <c r="B14" i="14"/>
  <c r="Y14" i="14" s="1"/>
  <c r="B13" i="14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L7" i="14"/>
  <c r="K7" i="14"/>
  <c r="I7" i="14"/>
  <c r="H7" i="14"/>
  <c r="C7" i="14"/>
  <c r="B7" i="14"/>
  <c r="AA6" i="14"/>
  <c r="X6" i="14"/>
  <c r="W6" i="14"/>
  <c r="T6" i="14"/>
  <c r="S6" i="14"/>
  <c r="R6" i="14"/>
  <c r="Q6" i="14"/>
  <c r="P6" i="14"/>
  <c r="O6" i="14"/>
  <c r="N6" i="14"/>
  <c r="L6" i="14"/>
  <c r="K6" i="14"/>
  <c r="H6" i="14"/>
  <c r="G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Z3" i="14"/>
  <c r="G3" i="14"/>
  <c r="F3" i="14"/>
  <c r="E3" i="14"/>
  <c r="D3" i="14"/>
  <c r="B3" i="14"/>
  <c r="AA2" i="14"/>
  <c r="Z2" i="14"/>
  <c r="X2" i="14"/>
  <c r="P2" i="14"/>
  <c r="O2" i="14"/>
  <c r="M2" i="14"/>
  <c r="E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E17" i="13"/>
  <c r="B17" i="13"/>
  <c r="F17" i="13" s="1"/>
  <c r="U16" i="13"/>
  <c r="T16" i="13"/>
  <c r="H16" i="13"/>
  <c r="G16" i="13"/>
  <c r="B16" i="13"/>
  <c r="AA16" i="13" s="1"/>
  <c r="AB15" i="13"/>
  <c r="AA15" i="13"/>
  <c r="Z15" i="13"/>
  <c r="Y15" i="13"/>
  <c r="W15" i="13"/>
  <c r="V15" i="13"/>
  <c r="S15" i="13"/>
  <c r="R15" i="13"/>
  <c r="P15" i="13"/>
  <c r="O15" i="13"/>
  <c r="L15" i="13"/>
  <c r="K15" i="13"/>
  <c r="J15" i="13"/>
  <c r="I15" i="13"/>
  <c r="G15" i="13"/>
  <c r="F15" i="13"/>
  <c r="E15" i="13"/>
  <c r="D15" i="13"/>
  <c r="C15" i="13"/>
  <c r="B15" i="13"/>
  <c r="L14" i="13"/>
  <c r="K14" i="13"/>
  <c r="J14" i="13"/>
  <c r="F14" i="13"/>
  <c r="B14" i="13"/>
  <c r="Z13" i="13"/>
  <c r="Y13" i="13"/>
  <c r="X13" i="13"/>
  <c r="U13" i="13"/>
  <c r="T13" i="13"/>
  <c r="B13" i="13"/>
  <c r="W12" i="13"/>
  <c r="V12" i="13"/>
  <c r="U12" i="13"/>
  <c r="T12" i="13"/>
  <c r="S12" i="13"/>
  <c r="R12" i="13"/>
  <c r="O12" i="13"/>
  <c r="M12" i="13"/>
  <c r="L12" i="13"/>
  <c r="I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V8" i="13"/>
  <c r="U8" i="13"/>
  <c r="T8" i="13"/>
  <c r="R8" i="13"/>
  <c r="Q8" i="13"/>
  <c r="K8" i="13"/>
  <c r="J8" i="13"/>
  <c r="I8" i="13"/>
  <c r="G8" i="13"/>
  <c r="E8" i="13"/>
  <c r="D8" i="13"/>
  <c r="B8" i="13"/>
  <c r="AA8" i="13" s="1"/>
  <c r="AB7" i="13"/>
  <c r="AA7" i="13"/>
  <c r="X7" i="13"/>
  <c r="W7" i="13"/>
  <c r="U7" i="13"/>
  <c r="S7" i="13"/>
  <c r="R7" i="13"/>
  <c r="M7" i="13"/>
  <c r="L7" i="13"/>
  <c r="I7" i="13"/>
  <c r="H7" i="13"/>
  <c r="G7" i="13"/>
  <c r="F7" i="13"/>
  <c r="E7" i="13"/>
  <c r="D7" i="13"/>
  <c r="C7" i="13"/>
  <c r="B7" i="13"/>
  <c r="Y7" i="13" s="1"/>
  <c r="AA6" i="13"/>
  <c r="Z6" i="13"/>
  <c r="H6" i="13"/>
  <c r="B6" i="13"/>
  <c r="P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W3" i="13"/>
  <c r="V3" i="13"/>
  <c r="P3" i="13"/>
  <c r="N3" i="13"/>
  <c r="F3" i="13"/>
  <c r="B3" i="13"/>
  <c r="M3" i="13" s="1"/>
  <c r="M2" i="13"/>
  <c r="L2" i="13"/>
  <c r="I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B17" i="12"/>
  <c r="O17" i="12" s="1"/>
  <c r="AB16" i="12"/>
  <c r="AA16" i="12"/>
  <c r="Z16" i="12"/>
  <c r="J16" i="12"/>
  <c r="C16" i="12"/>
  <c r="B16" i="12"/>
  <c r="AB15" i="12"/>
  <c r="AA15" i="12"/>
  <c r="Z15" i="12"/>
  <c r="Y15" i="12"/>
  <c r="V15" i="12"/>
  <c r="T15" i="12"/>
  <c r="S15" i="12"/>
  <c r="R15" i="12"/>
  <c r="Q15" i="12"/>
  <c r="O15" i="12"/>
  <c r="N15" i="12"/>
  <c r="M15" i="12"/>
  <c r="L15" i="12"/>
  <c r="J15" i="12"/>
  <c r="I15" i="12"/>
  <c r="D15" i="12"/>
  <c r="B15" i="12"/>
  <c r="R14" i="12"/>
  <c r="Q14" i="12"/>
  <c r="K14" i="12"/>
  <c r="B14" i="12"/>
  <c r="B13" i="12"/>
  <c r="H12" i="12"/>
  <c r="B12" i="12"/>
  <c r="AA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W8" i="12"/>
  <c r="D8" i="12"/>
  <c r="B8" i="12"/>
  <c r="AB7" i="12"/>
  <c r="AA7" i="12"/>
  <c r="Z7" i="12"/>
  <c r="Y7" i="12"/>
  <c r="X7" i="12"/>
  <c r="V7" i="12"/>
  <c r="P7" i="12"/>
  <c r="K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M3" i="12"/>
  <c r="L3" i="12"/>
  <c r="J3" i="12"/>
  <c r="I3" i="12"/>
  <c r="G3" i="12"/>
  <c r="F3" i="12"/>
  <c r="B3" i="12"/>
  <c r="K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P17" i="11"/>
  <c r="O17" i="11"/>
  <c r="J17" i="11"/>
  <c r="D17" i="11"/>
  <c r="B17" i="11"/>
  <c r="C17" i="11" s="1"/>
  <c r="AB16" i="11"/>
  <c r="Y16" i="11"/>
  <c r="W16" i="11"/>
  <c r="V16" i="11"/>
  <c r="D16" i="11"/>
  <c r="B16" i="11"/>
  <c r="AA16" i="11" s="1"/>
  <c r="W15" i="11"/>
  <c r="R15" i="11"/>
  <c r="B15" i="11"/>
  <c r="M14" i="11"/>
  <c r="L14" i="11"/>
  <c r="F14" i="11"/>
  <c r="B14" i="11"/>
  <c r="B13" i="11"/>
  <c r="AB12" i="11"/>
  <c r="Z12" i="11"/>
  <c r="X12" i="11"/>
  <c r="U12" i="11"/>
  <c r="T12" i="11"/>
  <c r="P12" i="11"/>
  <c r="O12" i="11"/>
  <c r="K12" i="11"/>
  <c r="J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S8" i="11"/>
  <c r="R8" i="11"/>
  <c r="Q8" i="11"/>
  <c r="O8" i="11"/>
  <c r="N8" i="11"/>
  <c r="K8" i="11"/>
  <c r="J8" i="11"/>
  <c r="I8" i="11"/>
  <c r="D8" i="11"/>
  <c r="C8" i="11"/>
  <c r="B8" i="11"/>
  <c r="AB7" i="11"/>
  <c r="AA7" i="11"/>
  <c r="R7" i="11"/>
  <c r="P7" i="11"/>
  <c r="O7" i="11"/>
  <c r="M7" i="11"/>
  <c r="L7" i="11"/>
  <c r="K7" i="11"/>
  <c r="J7" i="11"/>
  <c r="I7" i="11"/>
  <c r="G7" i="11"/>
  <c r="F7" i="11"/>
  <c r="E7" i="11"/>
  <c r="D7" i="11"/>
  <c r="C7" i="11"/>
  <c r="B7" i="11"/>
  <c r="Z7" i="11" s="1"/>
  <c r="X6" i="11"/>
  <c r="U6" i="11"/>
  <c r="T6" i="11"/>
  <c r="R6" i="11"/>
  <c r="Q6" i="11"/>
  <c r="P6" i="11"/>
  <c r="O6" i="11"/>
  <c r="L6" i="11"/>
  <c r="K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Q3" i="11"/>
  <c r="P3" i="11"/>
  <c r="M3" i="11"/>
  <c r="L3" i="11"/>
  <c r="K3" i="11"/>
  <c r="I3" i="11"/>
  <c r="H3" i="11"/>
  <c r="E3" i="11"/>
  <c r="D3" i="11"/>
  <c r="C3" i="11"/>
  <c r="B3" i="11"/>
  <c r="R3" i="11" s="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W15" i="10"/>
  <c r="V15" i="10"/>
  <c r="U15" i="10"/>
  <c r="T15" i="10"/>
  <c r="Q15" i="10"/>
  <c r="P15" i="10"/>
  <c r="O15" i="10"/>
  <c r="N15" i="10"/>
  <c r="M15" i="10"/>
  <c r="L15" i="10"/>
  <c r="K15" i="10"/>
  <c r="I15" i="10"/>
  <c r="H15" i="10"/>
  <c r="F15" i="10"/>
  <c r="E15" i="10"/>
  <c r="D15" i="10"/>
  <c r="C15" i="10"/>
  <c r="B15" i="10"/>
  <c r="AB15" i="10" s="1"/>
  <c r="T14" i="10"/>
  <c r="S14" i="10"/>
  <c r="R14" i="10"/>
  <c r="Q14" i="10"/>
  <c r="P14" i="10"/>
  <c r="O14" i="10"/>
  <c r="N14" i="10"/>
  <c r="M14" i="10"/>
  <c r="L14" i="10"/>
  <c r="J14" i="10"/>
  <c r="I14" i="10"/>
  <c r="H14" i="10"/>
  <c r="G14" i="10"/>
  <c r="F14" i="10"/>
  <c r="D14" i="10"/>
  <c r="C14" i="10"/>
  <c r="B14" i="10"/>
  <c r="AA14" i="10" s="1"/>
  <c r="B13" i="10"/>
  <c r="Y13" i="10" s="1"/>
  <c r="AA12" i="10"/>
  <c r="Z12" i="10"/>
  <c r="G12" i="10"/>
  <c r="B12" i="10"/>
  <c r="AB12" i="10" s="1"/>
  <c r="C11" i="10"/>
  <c r="B11" i="10"/>
  <c r="B10" i="10"/>
  <c r="B9" i="10"/>
  <c r="AB8" i="10"/>
  <c r="N8" i="10"/>
  <c r="K8" i="10"/>
  <c r="I8" i="10"/>
  <c r="G8" i="10"/>
  <c r="C8" i="10"/>
  <c r="B8" i="10"/>
  <c r="Q8" i="10" s="1"/>
  <c r="B7" i="10"/>
  <c r="X7" i="10" s="1"/>
  <c r="H6" i="10"/>
  <c r="E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AA2" i="10"/>
  <c r="Z2" i="10"/>
  <c r="Y2" i="10"/>
  <c r="X2" i="10"/>
  <c r="V2" i="10"/>
  <c r="U2" i="10"/>
  <c r="P2" i="10"/>
  <c r="M2" i="10"/>
  <c r="L2" i="10"/>
  <c r="K2" i="10"/>
  <c r="J2" i="10"/>
  <c r="H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U17" i="9"/>
  <c r="T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Y15" i="9"/>
  <c r="M15" i="9"/>
  <c r="B15" i="9"/>
  <c r="AA15" i="9" s="1"/>
  <c r="Y14" i="9"/>
  <c r="V14" i="9"/>
  <c r="U14" i="9"/>
  <c r="L14" i="9"/>
  <c r="K14" i="9"/>
  <c r="J14" i="9"/>
  <c r="I14" i="9"/>
  <c r="H14" i="9"/>
  <c r="G14" i="9"/>
  <c r="F14" i="9"/>
  <c r="D14" i="9"/>
  <c r="B14" i="9"/>
  <c r="W14" i="9" s="1"/>
  <c r="AA13" i="9"/>
  <c r="Y13" i="9"/>
  <c r="X13" i="9"/>
  <c r="B13" i="9"/>
  <c r="Z13" i="9" s="1"/>
  <c r="U12" i="9"/>
  <c r="B12" i="9"/>
  <c r="Y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X8" i="9"/>
  <c r="U8" i="9"/>
  <c r="T8" i="9"/>
  <c r="R8" i="9"/>
  <c r="Q8" i="9"/>
  <c r="P8" i="9"/>
  <c r="O8" i="9"/>
  <c r="N8" i="9"/>
  <c r="M8" i="9"/>
  <c r="L8" i="9"/>
  <c r="K8" i="9"/>
  <c r="I8" i="9"/>
  <c r="G8" i="9"/>
  <c r="C8" i="9"/>
  <c r="B8" i="9"/>
  <c r="AB7" i="9"/>
  <c r="AA7" i="9"/>
  <c r="X7" i="9"/>
  <c r="W7" i="9"/>
  <c r="V7" i="9"/>
  <c r="U7" i="9"/>
  <c r="T7" i="9"/>
  <c r="R7" i="9"/>
  <c r="Q7" i="9"/>
  <c r="P7" i="9"/>
  <c r="N7" i="9"/>
  <c r="M7" i="9"/>
  <c r="L7" i="9"/>
  <c r="J7" i="9"/>
  <c r="I7" i="9"/>
  <c r="G7" i="9"/>
  <c r="F7" i="9"/>
  <c r="D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B3" i="9"/>
  <c r="F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M15" i="8"/>
  <c r="L15" i="8"/>
  <c r="J15" i="8"/>
  <c r="I15" i="8"/>
  <c r="H15" i="8"/>
  <c r="G15" i="8"/>
  <c r="F15" i="8"/>
  <c r="B15" i="8"/>
  <c r="AA15" i="8" s="1"/>
  <c r="Z14" i="8"/>
  <c r="L14" i="8"/>
  <c r="K14" i="8"/>
  <c r="J14" i="8"/>
  <c r="B14" i="8"/>
  <c r="M13" i="8"/>
  <c r="L13" i="8"/>
  <c r="K13" i="8"/>
  <c r="B13" i="8"/>
  <c r="Q12" i="8"/>
  <c r="O12" i="8"/>
  <c r="N12" i="8"/>
  <c r="H12" i="8"/>
  <c r="E12" i="8"/>
  <c r="D12" i="8"/>
  <c r="B12" i="8"/>
  <c r="T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H8" i="8"/>
  <c r="B8" i="8"/>
  <c r="M8" i="8" s="1"/>
  <c r="Q7" i="8"/>
  <c r="P7" i="8"/>
  <c r="O7" i="8"/>
  <c r="M7" i="8"/>
  <c r="K7" i="8"/>
  <c r="J7" i="8"/>
  <c r="B7" i="8"/>
  <c r="W7" i="8" s="1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E3" i="8"/>
  <c r="D3" i="8"/>
  <c r="C3" i="8"/>
  <c r="B3" i="8"/>
  <c r="J3" i="8" s="1"/>
  <c r="AA2" i="8"/>
  <c r="Z2" i="8"/>
  <c r="W2" i="8"/>
  <c r="V2" i="8"/>
  <c r="U2" i="8"/>
  <c r="T2" i="8"/>
  <c r="S2" i="8"/>
  <c r="R2" i="8"/>
  <c r="Q2" i="8"/>
  <c r="P2" i="8"/>
  <c r="N2" i="8"/>
  <c r="M2" i="8"/>
  <c r="L2" i="8"/>
  <c r="K2" i="8"/>
  <c r="I2" i="8"/>
  <c r="H2" i="8"/>
  <c r="B2" i="8"/>
  <c r="O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L17" i="7"/>
  <c r="K17" i="7"/>
  <c r="B17" i="7"/>
  <c r="N16" i="7"/>
  <c r="M16" i="7"/>
  <c r="L16" i="7"/>
  <c r="J16" i="7"/>
  <c r="H16" i="7"/>
  <c r="G16" i="7"/>
  <c r="B16" i="7"/>
  <c r="AA16" i="7" s="1"/>
  <c r="AB15" i="7"/>
  <c r="I15" i="7"/>
  <c r="F15" i="7"/>
  <c r="E15" i="7"/>
  <c r="D15" i="7"/>
  <c r="B15" i="7"/>
  <c r="Z15" i="7" s="1"/>
  <c r="F14" i="7"/>
  <c r="D14" i="7"/>
  <c r="B14" i="7"/>
  <c r="AB13" i="7"/>
  <c r="X13" i="7"/>
  <c r="W13" i="7"/>
  <c r="T13" i="7"/>
  <c r="S13" i="7"/>
  <c r="B13" i="7"/>
  <c r="AB12" i="7"/>
  <c r="Y12" i="7"/>
  <c r="X12" i="7"/>
  <c r="W12" i="7"/>
  <c r="V12" i="7"/>
  <c r="S12" i="7"/>
  <c r="R12" i="7"/>
  <c r="O12" i="7"/>
  <c r="N12" i="7"/>
  <c r="B12" i="7"/>
  <c r="K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V8" i="7"/>
  <c r="U8" i="7"/>
  <c r="T8" i="7"/>
  <c r="R8" i="7"/>
  <c r="Q8" i="7"/>
  <c r="P8" i="7"/>
  <c r="N8" i="7"/>
  <c r="M8" i="7"/>
  <c r="L8" i="7"/>
  <c r="K8" i="7"/>
  <c r="J8" i="7"/>
  <c r="I8" i="7"/>
  <c r="H8" i="7"/>
  <c r="G8" i="7"/>
  <c r="B8" i="7"/>
  <c r="Z7" i="7"/>
  <c r="Y7" i="7"/>
  <c r="W7" i="7"/>
  <c r="V7" i="7"/>
  <c r="U7" i="7"/>
  <c r="S7" i="7"/>
  <c r="R7" i="7"/>
  <c r="Q7" i="7"/>
  <c r="P7" i="7"/>
  <c r="O7" i="7"/>
  <c r="N7" i="7"/>
  <c r="M7" i="7"/>
  <c r="L7" i="7"/>
  <c r="K7" i="7"/>
  <c r="J7" i="7"/>
  <c r="H7" i="7"/>
  <c r="B7" i="7"/>
  <c r="E7" i="7" s="1"/>
  <c r="B6" i="7"/>
  <c r="V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U3" i="7"/>
  <c r="T3" i="7"/>
  <c r="O3" i="7"/>
  <c r="N3" i="7"/>
  <c r="B3" i="7"/>
  <c r="G3" i="7" s="1"/>
  <c r="K2" i="7"/>
  <c r="I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V17" i="6"/>
  <c r="U17" i="6"/>
  <c r="T17" i="6"/>
  <c r="S17" i="6"/>
  <c r="R17" i="6"/>
  <c r="Q17" i="6"/>
  <c r="P17" i="6"/>
  <c r="O17" i="6"/>
  <c r="M17" i="6"/>
  <c r="L17" i="6"/>
  <c r="K17" i="6"/>
  <c r="J17" i="6"/>
  <c r="G17" i="6"/>
  <c r="F17" i="6"/>
  <c r="E17" i="6"/>
  <c r="D17" i="6"/>
  <c r="C17" i="6"/>
  <c r="B17" i="6"/>
  <c r="E16" i="6"/>
  <c r="D16" i="6"/>
  <c r="C16" i="6"/>
  <c r="B16" i="6"/>
  <c r="Y15" i="6"/>
  <c r="W15" i="6"/>
  <c r="V15" i="6"/>
  <c r="U15" i="6"/>
  <c r="T15" i="6"/>
  <c r="S15" i="6"/>
  <c r="R15" i="6"/>
  <c r="O15" i="6"/>
  <c r="N15" i="6"/>
  <c r="L15" i="6"/>
  <c r="K15" i="6"/>
  <c r="B15" i="6"/>
  <c r="D15" i="6" s="1"/>
  <c r="AB14" i="6"/>
  <c r="AA14" i="6"/>
  <c r="Y14" i="6"/>
  <c r="X14" i="6"/>
  <c r="W14" i="6"/>
  <c r="T14" i="6"/>
  <c r="S14" i="6"/>
  <c r="P14" i="6"/>
  <c r="O14" i="6"/>
  <c r="M14" i="6"/>
  <c r="L14" i="6"/>
  <c r="B14" i="6"/>
  <c r="Y13" i="6"/>
  <c r="V13" i="6"/>
  <c r="T13" i="6"/>
  <c r="S13" i="6"/>
  <c r="R13" i="6"/>
  <c r="Q13" i="6"/>
  <c r="O13" i="6"/>
  <c r="N13" i="6"/>
  <c r="M13" i="6"/>
  <c r="K13" i="6"/>
  <c r="H13" i="6"/>
  <c r="G13" i="6"/>
  <c r="B13" i="6"/>
  <c r="O12" i="6"/>
  <c r="N12" i="6"/>
  <c r="L12" i="6"/>
  <c r="K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B8" i="6"/>
  <c r="AB8" i="6" s="1"/>
  <c r="B7" i="6"/>
  <c r="J7" i="6" s="1"/>
  <c r="E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Y3" i="6"/>
  <c r="X3" i="6"/>
  <c r="V3" i="6"/>
  <c r="U3" i="6"/>
  <c r="B3" i="6"/>
  <c r="AA3" i="6" s="1"/>
  <c r="AB2" i="6"/>
  <c r="AA2" i="6"/>
  <c r="T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D17" i="5"/>
  <c r="B17" i="5"/>
  <c r="B16" i="5"/>
  <c r="AB15" i="5"/>
  <c r="AA15" i="5"/>
  <c r="Y15" i="5"/>
  <c r="W15" i="5"/>
  <c r="U15" i="5"/>
  <c r="T15" i="5"/>
  <c r="J15" i="5"/>
  <c r="H15" i="5"/>
  <c r="G15" i="5"/>
  <c r="F15" i="5"/>
  <c r="E15" i="5"/>
  <c r="D15" i="5"/>
  <c r="C15" i="5"/>
  <c r="B15" i="5"/>
  <c r="V15" i="5" s="1"/>
  <c r="AB14" i="5"/>
  <c r="AA14" i="5"/>
  <c r="Z14" i="5"/>
  <c r="Y14" i="5"/>
  <c r="W14" i="5"/>
  <c r="V14" i="5"/>
  <c r="B14" i="5"/>
  <c r="D14" i="5" s="1"/>
  <c r="D13" i="5"/>
  <c r="B13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B7" i="5"/>
  <c r="D7" i="5" s="1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B2" i="5"/>
  <c r="F2" i="5" s="1"/>
  <c r="B2" i="1"/>
  <c r="H12" i="5" l="1"/>
  <c r="X14" i="8"/>
  <c r="M14" i="8"/>
  <c r="F14" i="8"/>
  <c r="E14" i="8"/>
  <c r="AA14" i="8"/>
  <c r="C14" i="8"/>
  <c r="W14" i="8"/>
  <c r="V14" i="8"/>
  <c r="O14" i="8"/>
  <c r="U14" i="8"/>
  <c r="T14" i="8"/>
  <c r="P14" i="8"/>
  <c r="N14" i="8"/>
  <c r="S14" i="8"/>
  <c r="R14" i="8"/>
  <c r="Q14" i="8"/>
  <c r="X12" i="6"/>
  <c r="J12" i="6"/>
  <c r="AB12" i="6"/>
  <c r="W12" i="6"/>
  <c r="Y12" i="6"/>
  <c r="V12" i="6"/>
  <c r="U12" i="6"/>
  <c r="P12" i="6"/>
  <c r="S12" i="6"/>
  <c r="R12" i="6"/>
  <c r="T12" i="6"/>
  <c r="Y15" i="7"/>
  <c r="H14" i="8"/>
  <c r="L6" i="10"/>
  <c r="AA6" i="10"/>
  <c r="Y6" i="10"/>
  <c r="O6" i="10"/>
  <c r="R6" i="10"/>
  <c r="J6" i="10"/>
  <c r="N2" i="11"/>
  <c r="G8" i="12"/>
  <c r="X8" i="12"/>
  <c r="Q8" i="12"/>
  <c r="Z8" i="12"/>
  <c r="Y8" i="12"/>
  <c r="V8" i="12"/>
  <c r="U8" i="12"/>
  <c r="S8" i="12"/>
  <c r="R8" i="12"/>
  <c r="P8" i="12"/>
  <c r="M8" i="12"/>
  <c r="J8" i="12"/>
  <c r="I8" i="12"/>
  <c r="H8" i="12"/>
  <c r="F8" i="12"/>
  <c r="H6" i="7"/>
  <c r="Q6" i="7"/>
  <c r="U6" i="7"/>
  <c r="D12" i="6"/>
  <c r="I14" i="8"/>
  <c r="C6" i="10"/>
  <c r="Q2" i="11"/>
  <c r="C8" i="12"/>
  <c r="E2" i="5"/>
  <c r="AB13" i="5"/>
  <c r="J13" i="5"/>
  <c r="Z13" i="5"/>
  <c r="M13" i="5"/>
  <c r="X13" i="5"/>
  <c r="R13" i="5"/>
  <c r="Y13" i="5"/>
  <c r="K13" i="5"/>
  <c r="I13" i="5"/>
  <c r="M6" i="6"/>
  <c r="I6" i="6"/>
  <c r="AA6" i="6"/>
  <c r="AB6" i="6"/>
  <c r="Y2" i="7"/>
  <c r="H2" i="7"/>
  <c r="L2" i="7"/>
  <c r="G2" i="7"/>
  <c r="S2" i="7"/>
  <c r="Z2" i="7"/>
  <c r="Z14" i="7"/>
  <c r="R14" i="7"/>
  <c r="AA14" i="7"/>
  <c r="V14" i="7"/>
  <c r="U14" i="7"/>
  <c r="T14" i="7"/>
  <c r="S14" i="7"/>
  <c r="M14" i="7"/>
  <c r="O14" i="7"/>
  <c r="L14" i="7"/>
  <c r="Q14" i="7"/>
  <c r="N14" i="7"/>
  <c r="J14" i="7"/>
  <c r="Y14" i="8"/>
  <c r="L14" i="12"/>
  <c r="Y14" i="12"/>
  <c r="AB14" i="12"/>
  <c r="X14" i="12"/>
  <c r="W14" i="12"/>
  <c r="V14" i="12"/>
  <c r="C2" i="5"/>
  <c r="F13" i="5"/>
  <c r="E3" i="18"/>
  <c r="K6" i="6"/>
  <c r="H12" i="15"/>
  <c r="M2" i="7"/>
  <c r="P13" i="8"/>
  <c r="H13" i="8"/>
  <c r="G13" i="8"/>
  <c r="E13" i="8"/>
  <c r="AA13" i="8"/>
  <c r="X13" i="8"/>
  <c r="W13" i="8"/>
  <c r="V13" i="8"/>
  <c r="U13" i="8"/>
  <c r="O13" i="8"/>
  <c r="T13" i="8"/>
  <c r="S13" i="8"/>
  <c r="R13" i="8"/>
  <c r="Q13" i="8"/>
  <c r="L6" i="6"/>
  <c r="J17" i="5"/>
  <c r="W17" i="5"/>
  <c r="O17" i="5"/>
  <c r="V17" i="5"/>
  <c r="T17" i="5"/>
  <c r="S17" i="5"/>
  <c r="Q17" i="5"/>
  <c r="P17" i="5"/>
  <c r="U17" i="5"/>
  <c r="R17" i="5"/>
  <c r="L17" i="5"/>
  <c r="N6" i="6"/>
  <c r="O2" i="7"/>
  <c r="X14" i="7"/>
  <c r="C13" i="8"/>
  <c r="J6" i="6"/>
  <c r="O6" i="6"/>
  <c r="P2" i="7"/>
  <c r="AB13" i="11"/>
  <c r="L13" i="11"/>
  <c r="AA13" i="11"/>
  <c r="Z13" i="11"/>
  <c r="Y13" i="11"/>
  <c r="X13" i="11"/>
  <c r="V13" i="11"/>
  <c r="U13" i="11"/>
  <c r="R13" i="11"/>
  <c r="M13" i="11"/>
  <c r="Q13" i="11"/>
  <c r="K13" i="11"/>
  <c r="S2" i="13"/>
  <c r="D2" i="13"/>
  <c r="Q2" i="13"/>
  <c r="J2" i="13"/>
  <c r="E2" i="13"/>
  <c r="C2" i="13"/>
  <c r="AB2" i="13"/>
  <c r="Z2" i="13"/>
  <c r="Y2" i="13"/>
  <c r="X2" i="13"/>
  <c r="V2" i="13"/>
  <c r="U2" i="13"/>
  <c r="R2" i="13"/>
  <c r="P2" i="13"/>
  <c r="O2" i="13"/>
  <c r="N2" i="13"/>
  <c r="G2" i="13"/>
  <c r="F2" i="13"/>
  <c r="Z3" i="18"/>
  <c r="D3" i="18"/>
  <c r="Y3" i="18"/>
  <c r="W3" i="18"/>
  <c r="V3" i="18"/>
  <c r="S3" i="18"/>
  <c r="R3" i="18"/>
  <c r="Q3" i="18"/>
  <c r="N3" i="18"/>
  <c r="M3" i="18"/>
  <c r="K3" i="18"/>
  <c r="J3" i="18"/>
  <c r="I3" i="18"/>
  <c r="P3" i="18"/>
  <c r="AB14" i="8"/>
  <c r="G13" i="5"/>
  <c r="H14" i="7"/>
  <c r="H13" i="5"/>
  <c r="N2" i="7"/>
  <c r="I14" i="7"/>
  <c r="Y14" i="7"/>
  <c r="F13" i="8"/>
  <c r="K17" i="5"/>
  <c r="P6" i="6"/>
  <c r="Q2" i="7"/>
  <c r="AB14" i="7"/>
  <c r="I13" i="8"/>
  <c r="J13" i="11"/>
  <c r="H2" i="13"/>
  <c r="U12" i="15"/>
  <c r="O12" i="15"/>
  <c r="D12" i="15"/>
  <c r="C12" i="15"/>
  <c r="AA12" i="15"/>
  <c r="Z12" i="15"/>
  <c r="V12" i="15"/>
  <c r="T12" i="15"/>
  <c r="S12" i="15"/>
  <c r="X12" i="15"/>
  <c r="W12" i="15"/>
  <c r="R12" i="15"/>
  <c r="Q12" i="15"/>
  <c r="P12" i="15"/>
  <c r="N12" i="15"/>
  <c r="M12" i="15"/>
  <c r="L12" i="15"/>
  <c r="K12" i="15"/>
  <c r="J12" i="15"/>
  <c r="I12" i="15"/>
  <c r="R2" i="7"/>
  <c r="X15" i="7"/>
  <c r="O15" i="7"/>
  <c r="AA15" i="7"/>
  <c r="C15" i="7"/>
  <c r="W15" i="7"/>
  <c r="T15" i="7"/>
  <c r="S15" i="7"/>
  <c r="N15" i="7"/>
  <c r="R15" i="7"/>
  <c r="Q15" i="7"/>
  <c r="L15" i="7"/>
  <c r="K15" i="7"/>
  <c r="P15" i="7"/>
  <c r="M15" i="7"/>
  <c r="J15" i="7"/>
  <c r="J13" i="8"/>
  <c r="S14" i="11"/>
  <c r="AA14" i="11"/>
  <c r="N14" i="11"/>
  <c r="H14" i="11"/>
  <c r="I14" i="11"/>
  <c r="G14" i="11"/>
  <c r="E14" i="11"/>
  <c r="C14" i="11"/>
  <c r="AB14" i="11"/>
  <c r="X14" i="11"/>
  <c r="W14" i="11"/>
  <c r="V14" i="11"/>
  <c r="U14" i="11"/>
  <c r="T14" i="11"/>
  <c r="R14" i="11"/>
  <c r="Q14" i="11"/>
  <c r="K14" i="11"/>
  <c r="J14" i="11"/>
  <c r="AA6" i="7"/>
  <c r="F6" i="7"/>
  <c r="O6" i="7"/>
  <c r="I6" i="7"/>
  <c r="W6" i="7"/>
  <c r="Z6" i="7"/>
  <c r="AB6" i="7"/>
  <c r="X6" i="7"/>
  <c r="S12" i="9"/>
  <c r="H12" i="9"/>
  <c r="E12" i="9"/>
  <c r="C12" i="9"/>
  <c r="AA12" i="9"/>
  <c r="Z12" i="9"/>
  <c r="AB12" i="9"/>
  <c r="D12" i="9"/>
  <c r="N6" i="7"/>
  <c r="G15" i="7"/>
  <c r="O14" i="11"/>
  <c r="D2" i="5"/>
  <c r="K6" i="7"/>
  <c r="N13" i="8"/>
  <c r="J12" i="9"/>
  <c r="P6" i="7"/>
  <c r="H15" i="7"/>
  <c r="AB13" i="8"/>
  <c r="O12" i="9"/>
  <c r="K15" i="9"/>
  <c r="P14" i="11"/>
  <c r="E12" i="14"/>
  <c r="AB13" i="14"/>
  <c r="X13" i="14"/>
  <c r="S13" i="14"/>
  <c r="R13" i="14"/>
  <c r="Q13" i="14"/>
  <c r="N13" i="14"/>
  <c r="K13" i="14"/>
  <c r="G13" i="14"/>
  <c r="E13" i="14"/>
  <c r="M6" i="17"/>
  <c r="L6" i="17"/>
  <c r="G6" i="17"/>
  <c r="Q6" i="17"/>
  <c r="E6" i="17"/>
  <c r="C6" i="17"/>
  <c r="R6" i="7"/>
  <c r="U15" i="7"/>
  <c r="D14" i="8"/>
  <c r="W12" i="9"/>
  <c r="C2" i="6"/>
  <c r="Z2" i="6"/>
  <c r="S6" i="7"/>
  <c r="Z13" i="7"/>
  <c r="N13" i="7"/>
  <c r="AA13" i="7"/>
  <c r="V13" i="7"/>
  <c r="R13" i="7"/>
  <c r="Q13" i="7"/>
  <c r="O13" i="7"/>
  <c r="M13" i="7"/>
  <c r="H13" i="7"/>
  <c r="F13" i="7"/>
  <c r="E13" i="7"/>
  <c r="K13" i="7"/>
  <c r="J13" i="7"/>
  <c r="I13" i="7"/>
  <c r="V15" i="7"/>
  <c r="G14" i="8"/>
  <c r="X12" i="9"/>
  <c r="Z15" i="9"/>
  <c r="Z17" i="9"/>
  <c r="AA17" i="9"/>
  <c r="W17" i="9"/>
  <c r="S17" i="9"/>
  <c r="R17" i="9"/>
  <c r="P17" i="9"/>
  <c r="Q17" i="9"/>
  <c r="J17" i="9"/>
  <c r="G17" i="9"/>
  <c r="O17" i="9"/>
  <c r="M17" i="9"/>
  <c r="K17" i="9"/>
  <c r="F17" i="9"/>
  <c r="I2" i="11"/>
  <c r="AB12" i="12"/>
  <c r="K3" i="13"/>
  <c r="O6" i="13"/>
  <c r="U14" i="13"/>
  <c r="H14" i="13"/>
  <c r="V14" i="13"/>
  <c r="R14" i="13"/>
  <c r="O14" i="13"/>
  <c r="N14" i="13"/>
  <c r="L3" i="14"/>
  <c r="AB3" i="14"/>
  <c r="X3" i="14"/>
  <c r="U3" i="14"/>
  <c r="T3" i="14"/>
  <c r="H8" i="15"/>
  <c r="I13" i="15"/>
  <c r="E14" i="13"/>
  <c r="C3" i="14"/>
  <c r="Z7" i="14"/>
  <c r="AB7" i="14"/>
  <c r="M7" i="14"/>
  <c r="J7" i="14"/>
  <c r="G7" i="14"/>
  <c r="E7" i="14"/>
  <c r="D7" i="14"/>
  <c r="J8" i="15"/>
  <c r="J13" i="15"/>
  <c r="X17" i="18"/>
  <c r="U17" i="18"/>
  <c r="S17" i="18"/>
  <c r="P17" i="18"/>
  <c r="O17" i="18"/>
  <c r="N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AB17" i="11"/>
  <c r="M14" i="13"/>
  <c r="I3" i="14"/>
  <c r="C15" i="18"/>
  <c r="AB15" i="18"/>
  <c r="AA15" i="18"/>
  <c r="Z15" i="18"/>
  <c r="Y15" i="18"/>
  <c r="X15" i="18"/>
  <c r="W15" i="18"/>
  <c r="S15" i="18"/>
  <c r="M15" i="18"/>
  <c r="K15" i="18"/>
  <c r="J15" i="18"/>
  <c r="E15" i="18"/>
  <c r="P14" i="13"/>
  <c r="J3" i="14"/>
  <c r="N7" i="14"/>
  <c r="G6" i="15"/>
  <c r="N6" i="15"/>
  <c r="AB6" i="15"/>
  <c r="X6" i="15"/>
  <c r="W6" i="15"/>
  <c r="T6" i="15"/>
  <c r="S6" i="15"/>
  <c r="R6" i="15"/>
  <c r="V13" i="15"/>
  <c r="D15" i="18"/>
  <c r="AB17" i="7"/>
  <c r="D17" i="7"/>
  <c r="U7" i="8"/>
  <c r="U12" i="8"/>
  <c r="O15" i="8"/>
  <c r="W13" i="13"/>
  <c r="S13" i="13"/>
  <c r="P13" i="13"/>
  <c r="M13" i="13"/>
  <c r="K13" i="13"/>
  <c r="Q14" i="13"/>
  <c r="K3" i="14"/>
  <c r="O7" i="14"/>
  <c r="M2" i="15"/>
  <c r="D6" i="15"/>
  <c r="W13" i="15"/>
  <c r="Q15" i="18"/>
  <c r="U14" i="6"/>
  <c r="R14" i="6"/>
  <c r="C12" i="7"/>
  <c r="N14" i="9"/>
  <c r="F13" i="10"/>
  <c r="F6" i="12"/>
  <c r="F13" i="13"/>
  <c r="S14" i="13"/>
  <c r="M3" i="14"/>
  <c r="P7" i="14"/>
  <c r="N2" i="15"/>
  <c r="E6" i="15"/>
  <c r="V7" i="17"/>
  <c r="S7" i="17"/>
  <c r="R7" i="17"/>
  <c r="O7" i="17"/>
  <c r="K7" i="17"/>
  <c r="J7" i="17"/>
  <c r="H7" i="17"/>
  <c r="G7" i="17"/>
  <c r="F7" i="17"/>
  <c r="E7" i="17"/>
  <c r="D7" i="17"/>
  <c r="Z7" i="17"/>
  <c r="T7" i="8"/>
  <c r="S12" i="8"/>
  <c r="N15" i="8"/>
  <c r="M3" i="5"/>
  <c r="M15" i="5"/>
  <c r="K3" i="6"/>
  <c r="E12" i="7"/>
  <c r="C17" i="7"/>
  <c r="Y7" i="8"/>
  <c r="V12" i="8"/>
  <c r="E14" i="6"/>
  <c r="E17" i="7"/>
  <c r="Z7" i="8"/>
  <c r="W12" i="8"/>
  <c r="U15" i="8"/>
  <c r="C13" i="9"/>
  <c r="O14" i="9"/>
  <c r="W2" i="10"/>
  <c r="N2" i="10"/>
  <c r="H13" i="10"/>
  <c r="V14" i="10"/>
  <c r="S7" i="11"/>
  <c r="M12" i="11"/>
  <c r="Y12" i="11"/>
  <c r="W7" i="12"/>
  <c r="I7" i="12"/>
  <c r="X15" i="12"/>
  <c r="P15" i="12"/>
  <c r="F15" i="12"/>
  <c r="W15" i="12"/>
  <c r="G13" i="13"/>
  <c r="T14" i="13"/>
  <c r="N3" i="14"/>
  <c r="R7" i="14"/>
  <c r="R2" i="15"/>
  <c r="I6" i="15"/>
  <c r="Z6" i="16"/>
  <c r="V6" i="16"/>
  <c r="Q6" i="16"/>
  <c r="O6" i="16"/>
  <c r="M6" i="16"/>
  <c r="K6" i="16"/>
  <c r="J6" i="16"/>
  <c r="I6" i="16"/>
  <c r="G6" i="16"/>
  <c r="F6" i="16"/>
  <c r="P7" i="17"/>
  <c r="S7" i="8"/>
  <c r="X6" i="5"/>
  <c r="K15" i="5"/>
  <c r="C3" i="6"/>
  <c r="Z15" i="6"/>
  <c r="C14" i="6"/>
  <c r="AA15" i="6"/>
  <c r="D14" i="6"/>
  <c r="F3" i="7"/>
  <c r="AA7" i="7"/>
  <c r="P15" i="8"/>
  <c r="L3" i="6"/>
  <c r="F12" i="7"/>
  <c r="X8" i="7"/>
  <c r="F8" i="7"/>
  <c r="AB8" i="7"/>
  <c r="G12" i="7"/>
  <c r="F17" i="7"/>
  <c r="C2" i="8"/>
  <c r="X12" i="8"/>
  <c r="Y15" i="8"/>
  <c r="W8" i="9"/>
  <c r="S8" i="9"/>
  <c r="D13" i="9"/>
  <c r="P14" i="9"/>
  <c r="C2" i="10"/>
  <c r="M13" i="10"/>
  <c r="W14" i="10"/>
  <c r="Y15" i="10"/>
  <c r="T7" i="11"/>
  <c r="C12" i="11"/>
  <c r="D7" i="12"/>
  <c r="C15" i="12"/>
  <c r="H13" i="13"/>
  <c r="W14" i="13"/>
  <c r="Q2" i="14"/>
  <c r="G2" i="14"/>
  <c r="AB2" i="14"/>
  <c r="Y2" i="14"/>
  <c r="U2" i="14"/>
  <c r="R2" i="14"/>
  <c r="P3" i="14"/>
  <c r="S7" i="14"/>
  <c r="S2" i="15"/>
  <c r="J6" i="15"/>
  <c r="E6" i="16"/>
  <c r="T7" i="17"/>
  <c r="AA7" i="19"/>
  <c r="U7" i="19"/>
  <c r="R7" i="19"/>
  <c r="M7" i="19"/>
  <c r="L7" i="19"/>
  <c r="H7" i="19"/>
  <c r="G7" i="19"/>
  <c r="F7" i="19"/>
  <c r="C7" i="19"/>
  <c r="X15" i="6"/>
  <c r="P15" i="6"/>
  <c r="J3" i="10"/>
  <c r="L15" i="5"/>
  <c r="M14" i="9"/>
  <c r="D13" i="10"/>
  <c r="AB15" i="6"/>
  <c r="N3" i="5"/>
  <c r="I7" i="5"/>
  <c r="N15" i="5"/>
  <c r="C8" i="6"/>
  <c r="E15" i="6"/>
  <c r="P13" i="10"/>
  <c r="Y14" i="10"/>
  <c r="AA15" i="10"/>
  <c r="V7" i="11"/>
  <c r="E12" i="11"/>
  <c r="E7" i="12"/>
  <c r="N13" i="13"/>
  <c r="Y14" i="13"/>
  <c r="S3" i="14"/>
  <c r="V7" i="14"/>
  <c r="Y2" i="15"/>
  <c r="K6" i="15"/>
  <c r="H6" i="16"/>
  <c r="J17" i="16"/>
  <c r="D17" i="16"/>
  <c r="C17" i="16"/>
  <c r="AB17" i="16"/>
  <c r="Z17" i="16"/>
  <c r="Y17" i="16"/>
  <c r="U7" i="17"/>
  <c r="R12" i="8"/>
  <c r="X3" i="7"/>
  <c r="P3" i="7"/>
  <c r="Q3" i="5"/>
  <c r="N7" i="5"/>
  <c r="O15" i="5"/>
  <c r="M3" i="6"/>
  <c r="D8" i="6"/>
  <c r="F14" i="6"/>
  <c r="F15" i="6"/>
  <c r="P15" i="5"/>
  <c r="J3" i="7"/>
  <c r="D7" i="7"/>
  <c r="C8" i="7"/>
  <c r="H12" i="7"/>
  <c r="G17" i="7"/>
  <c r="D2" i="8"/>
  <c r="Y12" i="8"/>
  <c r="P3" i="6"/>
  <c r="G8" i="6"/>
  <c r="I14" i="6"/>
  <c r="H15" i="6"/>
  <c r="K3" i="7"/>
  <c r="D8" i="7"/>
  <c r="H17" i="7"/>
  <c r="L8" i="8"/>
  <c r="Z12" i="8"/>
  <c r="C3" i="9"/>
  <c r="Y7" i="9"/>
  <c r="S7" i="9"/>
  <c r="E8" i="9"/>
  <c r="Q13" i="9"/>
  <c r="R14" i="9"/>
  <c r="E2" i="10"/>
  <c r="Z13" i="10"/>
  <c r="Z14" i="10"/>
  <c r="W7" i="11"/>
  <c r="F12" i="11"/>
  <c r="F7" i="12"/>
  <c r="E15" i="12"/>
  <c r="O13" i="13"/>
  <c r="AA14" i="13"/>
  <c r="F2" i="14"/>
  <c r="V3" i="14"/>
  <c r="W7" i="14"/>
  <c r="AA2" i="15"/>
  <c r="L6" i="15"/>
  <c r="L6" i="16"/>
  <c r="G17" i="16"/>
  <c r="W7" i="17"/>
  <c r="L3" i="5"/>
  <c r="Z6" i="5"/>
  <c r="F3" i="6"/>
  <c r="C15" i="6"/>
  <c r="G7" i="7"/>
  <c r="I7" i="7"/>
  <c r="AB7" i="7"/>
  <c r="H3" i="7"/>
  <c r="C7" i="7"/>
  <c r="S3" i="5"/>
  <c r="U7" i="5"/>
  <c r="O3" i="6"/>
  <c r="E8" i="6"/>
  <c r="H14" i="6"/>
  <c r="G15" i="6"/>
  <c r="M13" i="9"/>
  <c r="Q14" i="9"/>
  <c r="D2" i="10"/>
  <c r="T3" i="5"/>
  <c r="V7" i="5"/>
  <c r="Q15" i="5"/>
  <c r="J12" i="7"/>
  <c r="F2" i="8"/>
  <c r="U3" i="5"/>
  <c r="X7" i="5"/>
  <c r="O14" i="5"/>
  <c r="R15" i="5"/>
  <c r="Q3" i="6"/>
  <c r="H8" i="6"/>
  <c r="J14" i="6"/>
  <c r="I15" i="6"/>
  <c r="N17" i="6"/>
  <c r="H17" i="6"/>
  <c r="AB17" i="6"/>
  <c r="L3" i="7"/>
  <c r="F7" i="7"/>
  <c r="E8" i="7"/>
  <c r="L12" i="7"/>
  <c r="I17" i="7"/>
  <c r="G2" i="8"/>
  <c r="AA12" i="8"/>
  <c r="C7" i="9"/>
  <c r="F8" i="9"/>
  <c r="S13" i="9"/>
  <c r="S14" i="9"/>
  <c r="F2" i="10"/>
  <c r="AA13" i="10"/>
  <c r="X7" i="11"/>
  <c r="G12" i="11"/>
  <c r="G7" i="12"/>
  <c r="G15" i="12"/>
  <c r="Q13" i="13"/>
  <c r="X15" i="13"/>
  <c r="H15" i="13"/>
  <c r="T15" i="13"/>
  <c r="Q15" i="13"/>
  <c r="N15" i="13"/>
  <c r="M15" i="13"/>
  <c r="L2" i="14"/>
  <c r="W3" i="14"/>
  <c r="X7" i="14"/>
  <c r="M6" i="15"/>
  <c r="N6" i="16"/>
  <c r="H17" i="16"/>
  <c r="X7" i="17"/>
  <c r="W6" i="5"/>
  <c r="V3" i="5"/>
  <c r="S15" i="5"/>
  <c r="S3" i="6"/>
  <c r="AB13" i="6"/>
  <c r="P13" i="6"/>
  <c r="K14" i="6"/>
  <c r="J15" i="6"/>
  <c r="M3" i="7"/>
  <c r="M12" i="7"/>
  <c r="J17" i="7"/>
  <c r="AB12" i="8"/>
  <c r="W13" i="9"/>
  <c r="T14" i="9"/>
  <c r="G2" i="10"/>
  <c r="X14" i="10"/>
  <c r="U14" i="10"/>
  <c r="K14" i="10"/>
  <c r="AB14" i="10"/>
  <c r="E14" i="10"/>
  <c r="X15" i="10"/>
  <c r="R15" i="10"/>
  <c r="G15" i="10"/>
  <c r="Z15" i="10"/>
  <c r="I12" i="11"/>
  <c r="J7" i="12"/>
  <c r="H15" i="12"/>
  <c r="R13" i="13"/>
  <c r="Y3" i="14"/>
  <c r="Y7" i="14"/>
  <c r="P3" i="15"/>
  <c r="J3" i="15"/>
  <c r="AA3" i="15"/>
  <c r="Y3" i="15"/>
  <c r="X3" i="15"/>
  <c r="T3" i="15"/>
  <c r="Q3" i="15"/>
  <c r="N3" i="15"/>
  <c r="O6" i="15"/>
  <c r="S6" i="16"/>
  <c r="R17" i="16"/>
  <c r="Y7" i="17"/>
  <c r="AA3" i="13"/>
  <c r="D3" i="13"/>
  <c r="AB3" i="13"/>
  <c r="L3" i="13"/>
  <c r="G17" i="12"/>
  <c r="C3" i="13"/>
  <c r="G8" i="15"/>
  <c r="Z8" i="15"/>
  <c r="Y8" i="15"/>
  <c r="W8" i="15"/>
  <c r="T8" i="15"/>
  <c r="N8" i="15"/>
  <c r="M8" i="15"/>
  <c r="L8" i="15"/>
  <c r="P13" i="15"/>
  <c r="M13" i="15"/>
  <c r="D13" i="15"/>
  <c r="C13" i="15"/>
  <c r="AA13" i="15"/>
  <c r="Z13" i="15"/>
  <c r="T13" i="15"/>
  <c r="S13" i="15"/>
  <c r="R13" i="15"/>
  <c r="AB2" i="16"/>
  <c r="AA2" i="16"/>
  <c r="Y2" i="16"/>
  <c r="W2" i="16"/>
  <c r="U2" i="16"/>
  <c r="P2" i="16"/>
  <c r="K2" i="16"/>
  <c r="D2" i="16"/>
  <c r="AB6" i="13"/>
  <c r="K6" i="13"/>
  <c r="W3" i="6"/>
  <c r="I13" i="6"/>
  <c r="N14" i="6"/>
  <c r="M15" i="6"/>
  <c r="S3" i="7"/>
  <c r="P12" i="7"/>
  <c r="M17" i="7"/>
  <c r="Q7" i="11"/>
  <c r="H7" i="11"/>
  <c r="U7" i="11"/>
  <c r="N7" i="11"/>
  <c r="AB8" i="11"/>
  <c r="E8" i="11"/>
  <c r="P8" i="11"/>
  <c r="L12" i="11"/>
  <c r="S7" i="12"/>
  <c r="C12" i="12"/>
  <c r="K15" i="12"/>
  <c r="E3" i="13"/>
  <c r="G6" i="13"/>
  <c r="AB12" i="13"/>
  <c r="X12" i="13"/>
  <c r="J12" i="13"/>
  <c r="D12" i="13"/>
  <c r="V13" i="13"/>
  <c r="C17" i="13"/>
  <c r="V2" i="14"/>
  <c r="E3" i="15"/>
  <c r="U6" i="15"/>
  <c r="C8" i="15"/>
  <c r="E13" i="15"/>
  <c r="Q2" i="16"/>
  <c r="Z7" i="16"/>
  <c r="AB7" i="16"/>
  <c r="V7" i="16"/>
  <c r="U7" i="16"/>
  <c r="S7" i="16"/>
  <c r="P7" i="16"/>
  <c r="O7" i="16"/>
  <c r="M7" i="16"/>
  <c r="J7" i="16"/>
  <c r="I7" i="16"/>
  <c r="F7" i="16"/>
  <c r="E7" i="16"/>
  <c r="D7" i="16"/>
  <c r="T2" i="16"/>
  <c r="AB12" i="16"/>
  <c r="W12" i="16"/>
  <c r="K12" i="16"/>
  <c r="C12" i="16"/>
  <c r="Z2" i="17"/>
  <c r="W2" i="17"/>
  <c r="L2" i="17"/>
  <c r="J2" i="17"/>
  <c r="I2" i="17"/>
  <c r="G2" i="17"/>
  <c r="F2" i="17"/>
  <c r="Z15" i="8"/>
  <c r="K15" i="8"/>
  <c r="X14" i="9"/>
  <c r="AB14" i="9"/>
  <c r="E14" i="9"/>
  <c r="Z14" i="9"/>
  <c r="Z12" i="12"/>
  <c r="I3" i="13"/>
  <c r="J6" i="13"/>
  <c r="X2" i="15"/>
  <c r="K2" i="15"/>
  <c r="Z2" i="15"/>
  <c r="V2" i="15"/>
  <c r="U2" i="15"/>
  <c r="Q2" i="15"/>
  <c r="P2" i="15"/>
  <c r="O2" i="15"/>
  <c r="AA6" i="15"/>
  <c r="E8" i="15"/>
  <c r="G13" i="15"/>
  <c r="X2" i="16"/>
  <c r="I12" i="16"/>
  <c r="X15" i="5"/>
  <c r="I15" i="5"/>
  <c r="Z15" i="5"/>
  <c r="Q14" i="6"/>
  <c r="Q15" i="6"/>
  <c r="T12" i="7"/>
  <c r="G7" i="8"/>
  <c r="C12" i="8"/>
  <c r="E15" i="8"/>
  <c r="C14" i="9"/>
  <c r="AA14" i="9"/>
  <c r="J3" i="13"/>
  <c r="M6" i="13"/>
  <c r="C2" i="15"/>
  <c r="F8" i="15"/>
  <c r="H13" i="15"/>
  <c r="X12" i="16"/>
  <c r="W2" i="18"/>
  <c r="Y2" i="18"/>
  <c r="X2" i="18"/>
  <c r="V2" i="18"/>
  <c r="U2" i="18"/>
  <c r="S2" i="18"/>
  <c r="R2" i="18"/>
  <c r="P2" i="18"/>
  <c r="O2" i="18"/>
  <c r="N2" i="18"/>
  <c r="M2" i="18"/>
  <c r="L2" i="18"/>
  <c r="J2" i="18"/>
  <c r="G2" i="18"/>
  <c r="F2" i="18"/>
  <c r="D2" i="18"/>
  <c r="Y15" i="14"/>
  <c r="O7" i="15"/>
  <c r="T15" i="15"/>
  <c r="P12" i="17"/>
  <c r="AB8" i="18"/>
  <c r="Y12" i="18"/>
  <c r="H2" i="19"/>
  <c r="K3" i="19"/>
  <c r="N6" i="19"/>
  <c r="M8" i="19"/>
  <c r="C12" i="19"/>
  <c r="K13" i="19"/>
  <c r="T14" i="19"/>
  <c r="E6" i="14"/>
  <c r="P7" i="15"/>
  <c r="U15" i="15"/>
  <c r="Q12" i="17"/>
  <c r="C8" i="18"/>
  <c r="Z12" i="18"/>
  <c r="M2" i="19"/>
  <c r="M3" i="19"/>
  <c r="O6" i="19"/>
  <c r="N8" i="19"/>
  <c r="E12" i="19"/>
  <c r="L13" i="19"/>
  <c r="U14" i="19"/>
  <c r="Z8" i="10"/>
  <c r="J3" i="11"/>
  <c r="J6" i="11"/>
  <c r="Z7" i="13"/>
  <c r="F6" i="14"/>
  <c r="D15" i="14"/>
  <c r="AA15" i="14"/>
  <c r="Q7" i="15"/>
  <c r="V15" i="15"/>
  <c r="C14" i="16"/>
  <c r="R12" i="17"/>
  <c r="D8" i="18"/>
  <c r="N2" i="19"/>
  <c r="N3" i="19"/>
  <c r="R6" i="19"/>
  <c r="O8" i="19"/>
  <c r="F12" i="19"/>
  <c r="M13" i="19"/>
  <c r="V14" i="19"/>
  <c r="O2" i="19"/>
  <c r="P3" i="19"/>
  <c r="W6" i="19"/>
  <c r="P8" i="19"/>
  <c r="G12" i="19"/>
  <c r="O13" i="19"/>
  <c r="AB14" i="19"/>
  <c r="J6" i="14"/>
  <c r="G15" i="14"/>
  <c r="T7" i="15"/>
  <c r="AA15" i="15"/>
  <c r="J14" i="16"/>
  <c r="H8" i="17"/>
  <c r="U12" i="17"/>
  <c r="H15" i="17"/>
  <c r="L17" i="17"/>
  <c r="I6" i="18"/>
  <c r="G8" i="18"/>
  <c r="H13" i="18"/>
  <c r="R2" i="19"/>
  <c r="R3" i="19"/>
  <c r="R8" i="19"/>
  <c r="I12" i="19"/>
  <c r="Q13" i="19"/>
  <c r="C15" i="19"/>
  <c r="U7" i="15"/>
  <c r="Y14" i="16"/>
  <c r="J8" i="17"/>
  <c r="V12" i="17"/>
  <c r="I15" i="17"/>
  <c r="M17" i="17"/>
  <c r="J6" i="18"/>
  <c r="J8" i="18"/>
  <c r="P13" i="18"/>
  <c r="S2" i="19"/>
  <c r="S3" i="19"/>
  <c r="S8" i="19"/>
  <c r="J12" i="19"/>
  <c r="T13" i="19"/>
  <c r="E15" i="19"/>
  <c r="N8" i="17"/>
  <c r="W12" i="17"/>
  <c r="N15" i="17"/>
  <c r="O17" i="17"/>
  <c r="K6" i="18"/>
  <c r="K8" i="18"/>
  <c r="U2" i="19"/>
  <c r="T3" i="19"/>
  <c r="T8" i="19"/>
  <c r="L12" i="19"/>
  <c r="V13" i="19"/>
  <c r="F15" i="19"/>
  <c r="F8" i="13"/>
  <c r="M6" i="14"/>
  <c r="J15" i="14"/>
  <c r="W7" i="15"/>
  <c r="K15" i="16"/>
  <c r="O8" i="17"/>
  <c r="Y12" i="17"/>
  <c r="Q17" i="17"/>
  <c r="O6" i="18"/>
  <c r="M8" i="18"/>
  <c r="V2" i="19"/>
  <c r="U3" i="19"/>
  <c r="V8" i="19"/>
  <c r="P12" i="19"/>
  <c r="W13" i="19"/>
  <c r="G15" i="19"/>
  <c r="Y7" i="15"/>
  <c r="X15" i="16"/>
  <c r="Z12" i="17"/>
  <c r="R17" i="17"/>
  <c r="W2" i="19"/>
  <c r="V3" i="19"/>
  <c r="Q12" i="19"/>
  <c r="Y13" i="19"/>
  <c r="J15" i="19"/>
  <c r="Q8" i="17"/>
  <c r="AB12" i="17"/>
  <c r="U17" i="17"/>
  <c r="Q6" i="18"/>
  <c r="O8" i="18"/>
  <c r="L14" i="18"/>
  <c r="X2" i="19"/>
  <c r="W3" i="19"/>
  <c r="Y8" i="19"/>
  <c r="R12" i="19"/>
  <c r="Z13" i="19"/>
  <c r="L15" i="19"/>
  <c r="C17" i="19"/>
  <c r="W17" i="17"/>
  <c r="W6" i="18"/>
  <c r="P8" i="18"/>
  <c r="Q14" i="18"/>
  <c r="Z2" i="19"/>
  <c r="Y3" i="19"/>
  <c r="Z8" i="19"/>
  <c r="T12" i="19"/>
  <c r="AA13" i="19"/>
  <c r="M15" i="19"/>
  <c r="E17" i="19"/>
  <c r="O3" i="16"/>
  <c r="C12" i="17"/>
  <c r="X17" i="17"/>
  <c r="AB2" i="19"/>
  <c r="Z3" i="19"/>
  <c r="U12" i="19"/>
  <c r="O15" i="19"/>
  <c r="F17" i="19"/>
  <c r="AA3" i="19"/>
  <c r="AB8" i="19"/>
  <c r="V12" i="19"/>
  <c r="F14" i="19"/>
  <c r="P15" i="19"/>
  <c r="G17" i="19"/>
  <c r="S3" i="16"/>
  <c r="U8" i="17"/>
  <c r="E12" i="17"/>
  <c r="N13" i="17"/>
  <c r="Z17" i="17"/>
  <c r="S8" i="18"/>
  <c r="V14" i="18"/>
  <c r="C3" i="19"/>
  <c r="AB3" i="19"/>
  <c r="C8" i="19"/>
  <c r="Y12" i="19"/>
  <c r="G14" i="19"/>
  <c r="Q15" i="19"/>
  <c r="M17" i="19"/>
  <c r="L17" i="15"/>
  <c r="T3" i="16"/>
  <c r="F12" i="17"/>
  <c r="Q13" i="17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N7" i="13"/>
  <c r="W8" i="13"/>
  <c r="Z6" i="14"/>
  <c r="T15" i="14"/>
  <c r="K7" i="15"/>
  <c r="AA8" i="17"/>
  <c r="I12" i="17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<sst xmlns="http://schemas.openxmlformats.org/spreadsheetml/2006/main" count="3113" uniqueCount="587">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</sst>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57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DE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1.9872714486573309E-2</v>
      </c>
      <c r="C2" s="7">
        <f>$B2 * IFERROR(VLOOKUP("transport|PM25|Premature mortality", US_national_yearly!$D:$AM, 11, FALSE) / VLOOKUP("transport|PM25|Premature mortality", US_national_yearly!$D:$AM, 10, FALSE), 1)</f>
        <v>2.0119092595428576E-2</v>
      </c>
      <c r="D2" s="7">
        <f>$B2 * IFERROR(VLOOKUP("transport|PM25|Premature mortality", US_national_yearly!$D:$AM, 12, FALSE) / VLOOKUP("transport|PM25|Premature mortality", US_national_yearly!$D:$AM, 10, FALSE), 1)</f>
        <v>2.036547070428384E-2</v>
      </c>
      <c r="E2" s="7">
        <f>$B2 * IFERROR(VLOOKUP("transport|PM25|Premature mortality", US_national_yearly!$D:$AM, 13, FALSE) / VLOOKUP("transport|PM25|Premature mortality", US_national_yearly!$D:$AM, 10, FALSE), 1)</f>
        <v>2.0611848813139103E-2</v>
      </c>
      <c r="F2" s="7">
        <f>$B2 * IFERROR(VLOOKUP("transport|PM25|Premature mortality", US_national_yearly!$D:$AM, 14, FALSE) / VLOOKUP("transport|PM25|Premature mortality", US_national_yearly!$D:$AM, 10, FALSE), 1)</f>
        <v>2.0858226921994367E-2</v>
      </c>
      <c r="G2" s="7">
        <f>$B2 * IFERROR(VLOOKUP("transport|PM25|Premature mortality", US_national_yearly!$D:$AM, 15, FALSE) / VLOOKUP("transport|PM25|Premature mortality", US_national_yearly!$D:$AM, 10, FALSE), 1)</f>
        <v>2.1338046430850285E-2</v>
      </c>
      <c r="H2" s="7">
        <f>$B2 * IFERROR(VLOOKUP("transport|PM25|Premature mortality", US_national_yearly!$D:$AM, 16, FALSE) / VLOOKUP("transport|PM25|Premature mortality", US_national_yearly!$D:$AM, 10, FALSE), 1)</f>
        <v>2.1817865939706204E-2</v>
      </c>
      <c r="I2" s="7">
        <f>$B2 * IFERROR(VLOOKUP("transport|PM25|Premature mortality", US_national_yearly!$D:$AM, 17, FALSE) / VLOOKUP("transport|PM25|Premature mortality", US_national_yearly!$D:$AM, 10, FALSE), 1)</f>
        <v>2.2133031591189976E-2</v>
      </c>
      <c r="J2" s="7">
        <f>$B2 * IFERROR(VLOOKUP("transport|PM25|Premature mortality", US_national_yearly!$D:$AM, 18, FALSE) / VLOOKUP("transport|PM25|Premature mortality", US_national_yearly!$D:$AM, 10, FALSE), 1)</f>
        <v>2.2448197242673759E-2</v>
      </c>
      <c r="K2" s="7">
        <f>$B2 * IFERROR(VLOOKUP("transport|PM25|Premature mortality", US_national_yearly!$D:$AM, 19, FALSE) / VLOOKUP("transport|PM25|Premature mortality", US_national_yearly!$D:$AM, 10, FALSE), 1)</f>
        <v>2.2763362894157538E-2</v>
      </c>
      <c r="L2" s="7">
        <f>$B2 * IFERROR(VLOOKUP("transport|PM25|Premature mortality", US_national_yearly!$D:$AM, 20, FALSE) / VLOOKUP("transport|PM25|Premature mortality", US_national_yearly!$D:$AM, 10, FALSE), 1)</f>
        <v>2.3078528545641321E-2</v>
      </c>
      <c r="M2" s="7">
        <f>$B2 * IFERROR(VLOOKUP("transport|PM25|Premature mortality", US_national_yearly!$D:$AM, 21, FALSE) / VLOOKUP("transport|PM25|Premature mortality", US_national_yearly!$D:$AM, 10, FALSE), 1)</f>
        <v>2.3393694197125101E-2</v>
      </c>
      <c r="N2" s="7">
        <f>$B2 * IFERROR(VLOOKUP("transport|PM25|Premature mortality", US_national_yearly!$D:$AM, 22, FALSE) / VLOOKUP("transport|PM25|Premature mortality", US_national_yearly!$D:$AM, 10, FALSE), 1)</f>
        <v>2.3638400267087113E-2</v>
      </c>
      <c r="O2" s="7">
        <f>$B2 * IFERROR(VLOOKUP("transport|PM25|Premature mortality", US_national_yearly!$D:$AM, 23, FALSE) / VLOOKUP("transport|PM25|Premature mortality", US_national_yearly!$D:$AM, 10, FALSE), 1)</f>
        <v>2.3883106337049122E-2</v>
      </c>
      <c r="P2" s="7">
        <f>$B2 * IFERROR(VLOOKUP("transport|PM25|Premature mortality", US_national_yearly!$D:$AM, 24, FALSE) / VLOOKUP("transport|PM25|Premature mortality", US_national_yearly!$D:$AM, 10, FALSE), 1)</f>
        <v>2.4127812407011135E-2</v>
      </c>
      <c r="Q2" s="7">
        <f>$B2 * IFERROR(VLOOKUP("transport|PM25|Premature mortality", US_national_yearly!$D:$AM, 25, FALSE) / VLOOKUP("transport|PM25|Premature mortality", US_national_yearly!$D:$AM, 10, FALSE), 1)</f>
        <v>2.4372518476973144E-2</v>
      </c>
      <c r="R2" s="7">
        <f>$B2 * IFERROR(VLOOKUP("transport|PM25|Premature mortality", US_national_yearly!$D:$AM, 26, FALSE) / VLOOKUP("transport|PM25|Premature mortality", US_national_yearly!$D:$AM, 10, FALSE), 1)</f>
        <v>2.461722454693516E-2</v>
      </c>
      <c r="S2" s="7">
        <f>$B2 * IFERROR(VLOOKUP("transport|PM25|Premature mortality", US_national_yearly!$D:$AM, 27, FALSE) / VLOOKUP("transport|PM25|Premature mortality", US_national_yearly!$D:$AM, 10, FALSE), 1)</f>
        <v>2.4746862552341369E-2</v>
      </c>
      <c r="T2" s="7">
        <f>$B2 * IFERROR(VLOOKUP("transport|PM25|Premature mortality", US_national_yearly!$D:$AM, 28, FALSE) / VLOOKUP("transport|PM25|Premature mortality", US_national_yearly!$D:$AM, 10, FALSE), 1)</f>
        <v>2.487650055774757E-2</v>
      </c>
      <c r="U2" s="7">
        <f>$B2 * IFERROR(VLOOKUP("transport|PM25|Premature mortality", US_national_yearly!$D:$AM, 29, FALSE) / VLOOKUP("transport|PM25|Premature mortality", US_national_yearly!$D:$AM, 10, FALSE), 1)</f>
        <v>2.5006138563153771E-2</v>
      </c>
      <c r="V2" s="7">
        <f>$B2 * IFERROR(VLOOKUP("transport|PM25|Premature mortality", US_national_yearly!$D:$AM, 30, FALSE) / VLOOKUP("transport|PM25|Premature mortality", US_national_yearly!$D:$AM, 10, FALSE), 1)</f>
        <v>2.5135776568559972E-2</v>
      </c>
      <c r="W2" s="7">
        <f>$B2 * IFERROR(VLOOKUP("transport|PM25|Premature mortality", US_national_yearly!$D:$AM, 31, FALSE) / VLOOKUP("transport|PM25|Premature mortality", US_national_yearly!$D:$AM, 10, FALSE), 1)</f>
        <v>2.5265414573966173E-2</v>
      </c>
      <c r="X2" s="7">
        <f>$B2 * IFERROR(VLOOKUP("transport|PM25|Premature mortality", US_national_yearly!$D:$AM, 32, FALSE) / VLOOKUP("transport|PM25|Premature mortality", US_national_yearly!$D:$AM, 10, FALSE), 1)</f>
        <v>2.5288082782030891E-2</v>
      </c>
      <c r="Y2" s="7">
        <f>$B2 * IFERROR(VLOOKUP("transport|PM25|Premature mortality", US_national_yearly!$D:$AM, 33, FALSE) / VLOOKUP("transport|PM25|Premature mortality", US_national_yearly!$D:$AM, 10, FALSE), 1)</f>
        <v>2.531075099009561E-2</v>
      </c>
      <c r="Z2" s="7">
        <f>$B2 * IFERROR(VLOOKUP("transport|PM25|Premature mortality", US_national_yearly!$D:$AM, 34, FALSE) / VLOOKUP("transport|PM25|Premature mortality", US_national_yearly!$D:$AM, 10, FALSE), 1)</f>
        <v>2.5333419198160328E-2</v>
      </c>
      <c r="AA2" s="7">
        <f>$B2 * IFERROR(VLOOKUP("transport|PM25|Premature mortality", US_national_yearly!$D:$AM, 35, FALSE) / VLOOKUP("transport|PM25|Premature mortality", US_national_yearly!$D:$AM, 10, FALSE), 1)</f>
        <v>2.5356087406225046E-2</v>
      </c>
      <c r="AB2" s="7">
        <f>$B2 * IFERROR(VLOOKUP("transport|PM25|Premature mortality", US_national_yearly!$D:$AM, 36, FALSE) / VLOOKUP("transport|PM25|Premature mortality", US_national_yearly!$D:$AM, 10, FALSE), 1)</f>
        <v>2.5378755614289764E-2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5.2925996266704028E-5</v>
      </c>
      <c r="C3" s="7">
        <f>$B3 * IFERROR(VLOOKUP("transport|PM25|Infant mortality", US_national_yearly!$D:$AM, 11, FALSE) / VLOOKUP("transport|PM25|Infant mortality", US_national_yearly!$D:$AM, 10, FALSE), 1)</f>
        <v>5.2464529874574201E-5</v>
      </c>
      <c r="D3" s="7">
        <f>$B3 * IFERROR(VLOOKUP("transport|PM25|Infant mortality", US_national_yearly!$D:$AM, 12, FALSE) / VLOOKUP("transport|PM25|Infant mortality", US_national_yearly!$D:$AM, 10, FALSE), 1)</f>
        <v>5.2003063482444368E-5</v>
      </c>
      <c r="E3" s="7">
        <f>$B3 * IFERROR(VLOOKUP("transport|PM25|Infant mortality", US_national_yearly!$D:$AM, 13, FALSE) / VLOOKUP("transport|PM25|Infant mortality", US_national_yearly!$D:$AM, 10, FALSE), 1)</f>
        <v>5.1541597090314549E-5</v>
      </c>
      <c r="F3" s="7">
        <f>$B3 * IFERROR(VLOOKUP("transport|PM25|Infant mortality", US_national_yearly!$D:$AM, 14, FALSE) / VLOOKUP("transport|PM25|Infant mortality", US_national_yearly!$D:$AM, 10, FALSE), 1)</f>
        <v>5.1080130698184709E-5</v>
      </c>
      <c r="G3" s="7">
        <f>$B3 * IFERROR(VLOOKUP("transport|PM25|Infant mortality", US_national_yearly!$D:$AM, 15, FALSE) / VLOOKUP("transport|PM25|Infant mortality", US_national_yearly!$D:$AM, 10, FALSE), 1)</f>
        <v>3.3971019290400905E-5</v>
      </c>
      <c r="H3" s="7">
        <f>$B3 * IFERROR(VLOOKUP("transport|PM25|Infant mortality", US_national_yearly!$D:$AM, 16, FALSE) / VLOOKUP("transport|PM25|Infant mortality", US_national_yearly!$D:$AM, 10, FALSE), 1)</f>
        <v>1.6861907882617084E-5</v>
      </c>
      <c r="I3" s="7">
        <f>$B3 * IFERROR(VLOOKUP("transport|PM25|Infant mortality", US_national_yearly!$D:$AM, 17, FALSE) / VLOOKUP("transport|PM25|Infant mortality", US_national_yearly!$D:$AM, 10, FALSE), 1)</f>
        <v>1.6751687461216326E-5</v>
      </c>
      <c r="J3" s="7">
        <f>$B3 * IFERROR(VLOOKUP("transport|PM25|Infant mortality", US_national_yearly!$D:$AM, 18, FALSE) / VLOOKUP("transport|PM25|Infant mortality", US_national_yearly!$D:$AM, 10, FALSE), 1)</f>
        <v>1.6641467039815566E-5</v>
      </c>
      <c r="K3" s="7">
        <f>$B3 * IFERROR(VLOOKUP("transport|PM25|Infant mortality", US_national_yearly!$D:$AM, 19, FALSE) / VLOOKUP("transport|PM25|Infant mortality", US_national_yearly!$D:$AM, 10, FALSE), 1)</f>
        <v>1.6531246618414805E-5</v>
      </c>
      <c r="L3" s="7">
        <f>$B3 * IFERROR(VLOOKUP("transport|PM25|Infant mortality", US_national_yearly!$D:$AM, 20, FALSE) / VLOOKUP("transport|PM25|Infant mortality", US_national_yearly!$D:$AM, 10, FALSE), 1)</f>
        <v>1.6421026197014048E-5</v>
      </c>
      <c r="M3" s="7">
        <f>$B3 * IFERROR(VLOOKUP("transport|PM25|Infant mortality", US_national_yearly!$D:$AM, 21, FALSE) / VLOOKUP("transport|PM25|Infant mortality", US_national_yearly!$D:$AM, 10, FALSE), 1)</f>
        <v>1.6310805775613291E-5</v>
      </c>
      <c r="N3" s="7">
        <f>$B3 * IFERROR(VLOOKUP("transport|PM25|Infant mortality", US_national_yearly!$D:$AM, 22, FALSE) / VLOOKUP("transport|PM25|Infant mortality", US_national_yearly!$D:$AM, 10, FALSE), 1)</f>
        <v>1.6241575148381204E-5</v>
      </c>
      <c r="O3" s="7">
        <f>$B3 * IFERROR(VLOOKUP("transport|PM25|Infant mortality", US_national_yearly!$D:$AM, 23, FALSE) / VLOOKUP("transport|PM25|Infant mortality", US_national_yearly!$D:$AM, 10, FALSE), 1)</f>
        <v>1.6172344521149121E-5</v>
      </c>
      <c r="P3" s="7">
        <f>$B3 * IFERROR(VLOOKUP("transport|PM25|Infant mortality", US_national_yearly!$D:$AM, 24, FALSE) / VLOOKUP("transport|PM25|Infant mortality", US_national_yearly!$D:$AM, 10, FALSE), 1)</f>
        <v>1.6103113893917031E-5</v>
      </c>
      <c r="Q3" s="7">
        <f>$B3 * IFERROR(VLOOKUP("transport|PM25|Infant mortality", US_national_yearly!$D:$AM, 25, FALSE) / VLOOKUP("transport|PM25|Infant mortality", US_national_yearly!$D:$AM, 10, FALSE), 1)</f>
        <v>1.6033883266684948E-5</v>
      </c>
      <c r="R3" s="7">
        <f>$B3 * IFERROR(VLOOKUP("transport|PM25|Infant mortality", US_national_yearly!$D:$AM, 26, FALSE) / VLOOKUP("transport|PM25|Infant mortality", US_national_yearly!$D:$AM, 10, FALSE), 1)</f>
        <v>1.5964652639452865E-5</v>
      </c>
      <c r="S3" s="7">
        <f>$B3 * IFERROR(VLOOKUP("transport|PM25|Infant mortality", US_national_yearly!$D:$AM, 27, FALSE) / VLOOKUP("transport|PM25|Infant mortality", US_national_yearly!$D:$AM, 10, FALSE), 1)</f>
        <v>1.5878355247077221E-5</v>
      </c>
      <c r="T3" s="7">
        <f>$B3 * IFERROR(VLOOKUP("transport|PM25|Infant mortality", US_national_yearly!$D:$AM, 28, FALSE) / VLOOKUP("transport|PM25|Infant mortality", US_national_yearly!$D:$AM, 10, FALSE), 1)</f>
        <v>1.5792057854701577E-5</v>
      </c>
      <c r="U3" s="7">
        <f>$B3 * IFERROR(VLOOKUP("transport|PM25|Infant mortality", US_national_yearly!$D:$AM, 29, FALSE) / VLOOKUP("transport|PM25|Infant mortality", US_national_yearly!$D:$AM, 10, FALSE), 1)</f>
        <v>1.5705760462325933E-5</v>
      </c>
      <c r="V3" s="7">
        <f>$B3 * IFERROR(VLOOKUP("transport|PM25|Infant mortality", US_national_yearly!$D:$AM, 30, FALSE) / VLOOKUP("transport|PM25|Infant mortality", US_national_yearly!$D:$AM, 10, FALSE), 1)</f>
        <v>1.5619463069950292E-5</v>
      </c>
      <c r="W3" s="7">
        <f>$B3 * IFERROR(VLOOKUP("transport|PM25|Infant mortality", US_national_yearly!$D:$AM, 31, FALSE) / VLOOKUP("transport|PM25|Infant mortality", US_national_yearly!$D:$AM, 10, FALSE), 1)</f>
        <v>1.5533165677574648E-5</v>
      </c>
      <c r="X3" s="7">
        <f>$B3 * IFERROR(VLOOKUP("transport|PM25|Infant mortality", US_national_yearly!$D:$AM, 32, FALSE) / VLOOKUP("transport|PM25|Infant mortality", US_national_yearly!$D:$AM, 10, FALSE), 1)</f>
        <v>1.5440126242149405E-5</v>
      </c>
      <c r="Y3" s="7">
        <f>$B3 * IFERROR(VLOOKUP("transport|PM25|Infant mortality", US_national_yearly!$D:$AM, 33, FALSE) / VLOOKUP("transport|PM25|Infant mortality", US_national_yearly!$D:$AM, 10, FALSE), 1)</f>
        <v>1.534708680672416E-5</v>
      </c>
      <c r="Z3" s="7">
        <f>$B3 * IFERROR(VLOOKUP("transport|PM25|Infant mortality", US_national_yearly!$D:$AM, 34, FALSE) / VLOOKUP("transport|PM25|Infant mortality", US_national_yearly!$D:$AM, 10, FALSE), 1)</f>
        <v>1.5254047371298917E-5</v>
      </c>
      <c r="AA3" s="7">
        <f>$B3 * IFERROR(VLOOKUP("transport|PM25|Infant mortality", US_national_yearly!$D:$AM, 35, FALSE) / VLOOKUP("transport|PM25|Infant mortality", US_national_yearly!$D:$AM, 10, FALSE), 1)</f>
        <v>1.5161007935873673E-5</v>
      </c>
      <c r="AB3" s="7">
        <f>$B3 * IFERROR(VLOOKUP("transport|PM25|Infant mortality", US_national_yearly!$D:$AM, 36, FALSE) / VLOOKUP("transport|PM25|Infant mortality", US_national_yearly!$D:$AM, 10, FALSE), 1)</f>
        <v>1.5067968500448432E-5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4.7066793535450374E-2</v>
      </c>
      <c r="C6" s="7">
        <f>$B6 * IFERROR(VLOOKUP("transport|PM25|Asthma symptoms cough", US_national_yearly!$D:$AM, 11, FALSE) / VLOOKUP("transport|PM25|Asthma symptoms cough", US_national_yearly!$D:$AM, 10, FALSE), 1)</f>
        <v>4.7066793535450374E-2</v>
      </c>
      <c r="D6" s="7">
        <f>$B6 * IFERROR(VLOOKUP("transport|PM25|Asthma symptoms cough", US_national_yearly!$D:$AM, 12, FALSE) / VLOOKUP("transport|PM25|Asthma symptoms cough", US_national_yearly!$D:$AM, 10, FALSE), 1)</f>
        <v>4.7066793535450374E-2</v>
      </c>
      <c r="E6" s="7">
        <f>$B6 * IFERROR(VLOOKUP("transport|PM25|Asthma symptoms cough", US_national_yearly!$D:$AM, 13, FALSE) / VLOOKUP("transport|PM25|Asthma symptoms cough", US_national_yearly!$D:$AM, 10, FALSE), 1)</f>
        <v>4.7066793535450374E-2</v>
      </c>
      <c r="F6" s="7">
        <f>$B6 * IFERROR(VLOOKUP("transport|PM25|Asthma symptoms cough", US_national_yearly!$D:$AM, 14, FALSE) / VLOOKUP("transport|PM25|Asthma symptoms cough", US_national_yearly!$D:$AM, 10, FALSE), 1)</f>
        <v>4.7066793535450374E-2</v>
      </c>
      <c r="G6" s="7">
        <f>$B6 * IFERROR(VLOOKUP("transport|PM25|Asthma symptoms cough", US_national_yearly!$D:$AM, 15, FALSE) / VLOOKUP("transport|PM25|Asthma symptoms cough", US_national_yearly!$D:$AM, 10, FALSE), 1)</f>
        <v>4.7066793535450374E-2</v>
      </c>
      <c r="H6" s="7">
        <f>$B6 * IFERROR(VLOOKUP("transport|PM25|Asthma symptoms cough", US_national_yearly!$D:$AM, 16, FALSE) / VLOOKUP("transport|PM25|Asthma symptoms cough", US_national_yearly!$D:$AM, 10, FALSE), 1)</f>
        <v>4.7066793535450374E-2</v>
      </c>
      <c r="I6" s="7">
        <f>$B6 * IFERROR(VLOOKUP("transport|PM25|Asthma symptoms cough", US_national_yearly!$D:$AM, 17, FALSE) / VLOOKUP("transport|PM25|Asthma symptoms cough", US_national_yearly!$D:$AM, 10, FALSE), 1)</f>
        <v>4.7066793535450374E-2</v>
      </c>
      <c r="J6" s="7">
        <f>$B6 * IFERROR(VLOOKUP("transport|PM25|Asthma symptoms cough", US_national_yearly!$D:$AM, 18, FALSE) / VLOOKUP("transport|PM25|Asthma symptoms cough", US_national_yearly!$D:$AM, 10, FALSE), 1)</f>
        <v>4.7066793535450374E-2</v>
      </c>
      <c r="K6" s="7">
        <f>$B6 * IFERROR(VLOOKUP("transport|PM25|Asthma symptoms cough", US_national_yearly!$D:$AM, 19, FALSE) / VLOOKUP("transport|PM25|Asthma symptoms cough", US_national_yearly!$D:$AM, 10, FALSE), 1)</f>
        <v>4.7066793535450374E-2</v>
      </c>
      <c r="L6" s="7">
        <f>$B6 * IFERROR(VLOOKUP("transport|PM25|Asthma symptoms cough", US_national_yearly!$D:$AM, 20, FALSE) / VLOOKUP("transport|PM25|Asthma symptoms cough", US_national_yearly!$D:$AM, 10, FALSE), 1)</f>
        <v>4.7066793535450374E-2</v>
      </c>
      <c r="M6" s="7">
        <f>$B6 * IFERROR(VLOOKUP("transport|PM25|Asthma symptoms cough", US_national_yearly!$D:$AM, 21, FALSE) / VLOOKUP("transport|PM25|Asthma symptoms cough", US_national_yearly!$D:$AM, 10, FALSE), 1)</f>
        <v>4.7066793535450374E-2</v>
      </c>
      <c r="N6" s="7">
        <f>$B6 * IFERROR(VLOOKUP("transport|PM25|Asthma symptoms cough", US_national_yearly!$D:$AM, 22, FALSE) / VLOOKUP("transport|PM25|Asthma symptoms cough", US_national_yearly!$D:$AM, 10, FALSE), 1)</f>
        <v>4.7066793535450374E-2</v>
      </c>
      <c r="O6" s="7">
        <f>$B6 * IFERROR(VLOOKUP("transport|PM25|Asthma symptoms cough", US_national_yearly!$D:$AM, 23, FALSE) / VLOOKUP("transport|PM25|Asthma symptoms cough", US_national_yearly!$D:$AM, 10, FALSE), 1)</f>
        <v>4.7066793535450374E-2</v>
      </c>
      <c r="P6" s="7">
        <f>$B6 * IFERROR(VLOOKUP("transport|PM25|Asthma symptoms cough", US_national_yearly!$D:$AM, 24, FALSE) / VLOOKUP("transport|PM25|Asthma symptoms cough", US_national_yearly!$D:$AM, 10, FALSE), 1)</f>
        <v>4.7066793535450374E-2</v>
      </c>
      <c r="Q6" s="7">
        <f>$B6 * IFERROR(VLOOKUP("transport|PM25|Asthma symptoms cough", US_national_yearly!$D:$AM, 25, FALSE) / VLOOKUP("transport|PM25|Asthma symptoms cough", US_national_yearly!$D:$AM, 10, FALSE), 1)</f>
        <v>4.7066793535450374E-2</v>
      </c>
      <c r="R6" s="7">
        <f>$B6 * IFERROR(VLOOKUP("transport|PM25|Asthma symptoms cough", US_national_yearly!$D:$AM, 26, FALSE) / VLOOKUP("transport|PM25|Asthma symptoms cough", US_national_yearly!$D:$AM, 10, FALSE), 1)</f>
        <v>4.7066793535450374E-2</v>
      </c>
      <c r="S6" s="7">
        <f>$B6 * IFERROR(VLOOKUP("transport|PM25|Asthma symptoms cough", US_national_yearly!$D:$AM, 27, FALSE) / VLOOKUP("transport|PM25|Asthma symptoms cough", US_national_yearly!$D:$AM, 10, FALSE), 1)</f>
        <v>4.7066793535450374E-2</v>
      </c>
      <c r="T6" s="7">
        <f>$B6 * IFERROR(VLOOKUP("transport|PM25|Asthma symptoms cough", US_national_yearly!$D:$AM, 28, FALSE) / VLOOKUP("transport|PM25|Asthma symptoms cough", US_national_yearly!$D:$AM, 10, FALSE), 1)</f>
        <v>4.7066793535450374E-2</v>
      </c>
      <c r="U6" s="7">
        <f>$B6 * IFERROR(VLOOKUP("transport|PM25|Asthma symptoms cough", US_national_yearly!$D:$AM, 29, FALSE) / VLOOKUP("transport|PM25|Asthma symptoms cough", US_national_yearly!$D:$AM, 10, FALSE), 1)</f>
        <v>4.7066793535450374E-2</v>
      </c>
      <c r="V6" s="7">
        <f>$B6 * IFERROR(VLOOKUP("transport|PM25|Asthma symptoms cough", US_national_yearly!$D:$AM, 30, FALSE) / VLOOKUP("transport|PM25|Asthma symptoms cough", US_national_yearly!$D:$AM, 10, FALSE), 1)</f>
        <v>4.7066793535450374E-2</v>
      </c>
      <c r="W6" s="7">
        <f>$B6 * IFERROR(VLOOKUP("transport|PM25|Asthma symptoms cough", US_national_yearly!$D:$AM, 31, FALSE) / VLOOKUP("transport|PM25|Asthma symptoms cough", US_national_yearly!$D:$AM, 10, FALSE), 1)</f>
        <v>4.7066793535450374E-2</v>
      </c>
      <c r="X6" s="7">
        <f>$B6 * IFERROR(VLOOKUP("transport|PM25|Asthma symptoms cough", US_national_yearly!$D:$AM, 32, FALSE) / VLOOKUP("transport|PM25|Asthma symptoms cough", US_national_yearly!$D:$AM, 10, FALSE), 1)</f>
        <v>4.7066793535450374E-2</v>
      </c>
      <c r="Y6" s="7">
        <f>$B6 * IFERROR(VLOOKUP("transport|PM25|Asthma symptoms cough", US_national_yearly!$D:$AM, 33, FALSE) / VLOOKUP("transport|PM25|Asthma symptoms cough", US_national_yearly!$D:$AM, 10, FALSE), 1)</f>
        <v>4.7066793535450374E-2</v>
      </c>
      <c r="Z6" s="7">
        <f>$B6 * IFERROR(VLOOKUP("transport|PM25|Asthma symptoms cough", US_national_yearly!$D:$AM, 34, FALSE) / VLOOKUP("transport|PM25|Asthma symptoms cough", US_national_yearly!$D:$AM, 10, FALSE), 1)</f>
        <v>4.7066793535450374E-2</v>
      </c>
      <c r="AA6" s="7">
        <f>$B6 * IFERROR(VLOOKUP("transport|PM25|Asthma symptoms cough", US_national_yearly!$D:$AM, 35, FALSE) / VLOOKUP("transport|PM25|Asthma symptoms cough", US_national_yearly!$D:$AM, 10, FALSE), 1)</f>
        <v>4.7066793535450374E-2</v>
      </c>
      <c r="AB6" s="7">
        <f>$B6 * IFERROR(VLOOKUP("transport|PM25|Asthma symptoms cough", US_national_yearly!$D:$AM, 36, FALSE) / VLOOKUP("transport|PM25|Asthma symptoms cough", US_national_yearly!$D:$AM, 10, FALSE), 1)</f>
        <v>4.7066793535450374E-2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6.338155471675895E-2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6.338155471675895E-2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6.338155471675895E-2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6.338155471675895E-2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6.338155471675895E-2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6.338155471675895E-2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6.338155471675895E-2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6.338155471675895E-2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6.338155471675895E-2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6.338155471675895E-2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6.338155471675895E-2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6.338155471675895E-2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6.338155471675895E-2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6.338155471675895E-2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6.338155471675895E-2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6.338155471675895E-2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6.338155471675895E-2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6.338155471675895E-2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6.338155471675895E-2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6.338155471675895E-2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6.338155471675895E-2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6.338155471675895E-2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6.338155471675895E-2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6.338155471675895E-2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6.338155471675895E-2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6.338155471675895E-2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6.338155471675895E-2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9.6838814612925136E-2</v>
      </c>
      <c r="C8" s="7">
        <f>$B8 * IFERROR(VLOOKUP("transport|PM25|Asthma symptoms wheeze", US_national_yearly!$D:$AM, 11, FALSE) / VLOOKUP("transport|PM25|Asthma symptoms wheeze", US_national_yearly!$D:$AM, 10, FALSE), 1)</f>
        <v>9.6838814612925136E-2</v>
      </c>
      <c r="D8" s="7">
        <f>$B8 * IFERROR(VLOOKUP("transport|PM25|Asthma symptoms wheeze", US_national_yearly!$D:$AM, 12, FALSE) / VLOOKUP("transport|PM25|Asthma symptoms wheeze", US_national_yearly!$D:$AM, 10, FALSE), 1)</f>
        <v>9.6838814612925136E-2</v>
      </c>
      <c r="E8" s="7">
        <f>$B8 * IFERROR(VLOOKUP("transport|PM25|Asthma symptoms wheeze", US_national_yearly!$D:$AM, 13, FALSE) / VLOOKUP("transport|PM25|Asthma symptoms wheeze", US_national_yearly!$D:$AM, 10, FALSE), 1)</f>
        <v>9.6838814612925136E-2</v>
      </c>
      <c r="F8" s="7">
        <f>$B8 * IFERROR(VLOOKUP("transport|PM25|Asthma symptoms wheeze", US_national_yearly!$D:$AM, 14, FALSE) / VLOOKUP("transport|PM25|Asthma symptoms wheeze", US_national_yearly!$D:$AM, 10, FALSE), 1)</f>
        <v>9.6838814612925136E-2</v>
      </c>
      <c r="G8" s="7">
        <f>$B8 * IFERROR(VLOOKUP("transport|PM25|Asthma symptoms wheeze", US_national_yearly!$D:$AM, 15, FALSE) / VLOOKUP("transport|PM25|Asthma symptoms wheeze", US_national_yearly!$D:$AM, 10, FALSE), 1)</f>
        <v>9.6838814612925136E-2</v>
      </c>
      <c r="H8" s="7">
        <f>$B8 * IFERROR(VLOOKUP("transport|PM25|Asthma symptoms wheeze", US_national_yearly!$D:$AM, 16, FALSE) / VLOOKUP("transport|PM25|Asthma symptoms wheeze", US_national_yearly!$D:$AM, 10, FALSE), 1)</f>
        <v>9.6838814612925136E-2</v>
      </c>
      <c r="I8" s="7">
        <f>$B8 * IFERROR(VLOOKUP("transport|PM25|Asthma symptoms wheeze", US_national_yearly!$D:$AM, 17, FALSE) / VLOOKUP("transport|PM25|Asthma symptoms wheeze", US_national_yearly!$D:$AM, 10, FALSE), 1)</f>
        <v>9.6838814612925136E-2</v>
      </c>
      <c r="J8" s="7">
        <f>$B8 * IFERROR(VLOOKUP("transport|PM25|Asthma symptoms wheeze", US_national_yearly!$D:$AM, 18, FALSE) / VLOOKUP("transport|PM25|Asthma symptoms wheeze", US_national_yearly!$D:$AM, 10, FALSE), 1)</f>
        <v>9.6838814612925136E-2</v>
      </c>
      <c r="K8" s="7">
        <f>$B8 * IFERROR(VLOOKUP("transport|PM25|Asthma symptoms wheeze", US_national_yearly!$D:$AM, 19, FALSE) / VLOOKUP("transport|PM25|Asthma symptoms wheeze", US_national_yearly!$D:$AM, 10, FALSE), 1)</f>
        <v>9.6838814612925136E-2</v>
      </c>
      <c r="L8" s="7">
        <f>$B8 * IFERROR(VLOOKUP("transport|PM25|Asthma symptoms wheeze", US_national_yearly!$D:$AM, 20, FALSE) / VLOOKUP("transport|PM25|Asthma symptoms wheeze", US_national_yearly!$D:$AM, 10, FALSE), 1)</f>
        <v>9.6838814612925136E-2</v>
      </c>
      <c r="M8" s="7">
        <f>$B8 * IFERROR(VLOOKUP("transport|PM25|Asthma symptoms wheeze", US_national_yearly!$D:$AM, 21, FALSE) / VLOOKUP("transport|PM25|Asthma symptoms wheeze", US_national_yearly!$D:$AM, 10, FALSE), 1)</f>
        <v>9.6838814612925136E-2</v>
      </c>
      <c r="N8" s="7">
        <f>$B8 * IFERROR(VLOOKUP("transport|PM25|Asthma symptoms wheeze", US_national_yearly!$D:$AM, 22, FALSE) / VLOOKUP("transport|PM25|Asthma symptoms wheeze", US_national_yearly!$D:$AM, 10, FALSE), 1)</f>
        <v>9.6838814612925136E-2</v>
      </c>
      <c r="O8" s="7">
        <f>$B8 * IFERROR(VLOOKUP("transport|PM25|Asthma symptoms wheeze", US_national_yearly!$D:$AM, 23, FALSE) / VLOOKUP("transport|PM25|Asthma symptoms wheeze", US_national_yearly!$D:$AM, 10, FALSE), 1)</f>
        <v>9.6838814612925136E-2</v>
      </c>
      <c r="P8" s="7">
        <f>$B8 * IFERROR(VLOOKUP("transport|PM25|Asthma symptoms wheeze", US_national_yearly!$D:$AM, 24, FALSE) / VLOOKUP("transport|PM25|Asthma symptoms wheeze", US_national_yearly!$D:$AM, 10, FALSE), 1)</f>
        <v>9.6838814612925136E-2</v>
      </c>
      <c r="Q8" s="7">
        <f>$B8 * IFERROR(VLOOKUP("transport|PM25|Asthma symptoms wheeze", US_national_yearly!$D:$AM, 25, FALSE) / VLOOKUP("transport|PM25|Asthma symptoms wheeze", US_national_yearly!$D:$AM, 10, FALSE), 1)</f>
        <v>9.6838814612925136E-2</v>
      </c>
      <c r="R8" s="7">
        <f>$B8 * IFERROR(VLOOKUP("transport|PM25|Asthma symptoms wheeze", US_national_yearly!$D:$AM, 26, FALSE) / VLOOKUP("transport|PM25|Asthma symptoms wheeze", US_national_yearly!$D:$AM, 10, FALSE), 1)</f>
        <v>9.6838814612925136E-2</v>
      </c>
      <c r="S8" s="7">
        <f>$B8 * IFERROR(VLOOKUP("transport|PM25|Asthma symptoms wheeze", US_national_yearly!$D:$AM, 27, FALSE) / VLOOKUP("transport|PM25|Asthma symptoms wheeze", US_national_yearly!$D:$AM, 10, FALSE), 1)</f>
        <v>9.6838814612925136E-2</v>
      </c>
      <c r="T8" s="7">
        <f>$B8 * IFERROR(VLOOKUP("transport|PM25|Asthma symptoms wheeze", US_national_yearly!$D:$AM, 28, FALSE) / VLOOKUP("transport|PM25|Asthma symptoms wheeze", US_national_yearly!$D:$AM, 10, FALSE), 1)</f>
        <v>9.6838814612925136E-2</v>
      </c>
      <c r="U8" s="7">
        <f>$B8 * IFERROR(VLOOKUP("transport|PM25|Asthma symptoms wheeze", US_national_yearly!$D:$AM, 29, FALSE) / VLOOKUP("transport|PM25|Asthma symptoms wheeze", US_national_yearly!$D:$AM, 10, FALSE), 1)</f>
        <v>9.6838814612925136E-2</v>
      </c>
      <c r="V8" s="7">
        <f>$B8 * IFERROR(VLOOKUP("transport|PM25|Asthma symptoms wheeze", US_national_yearly!$D:$AM, 30, FALSE) / VLOOKUP("transport|PM25|Asthma symptoms wheeze", US_national_yearly!$D:$AM, 10, FALSE), 1)</f>
        <v>9.6838814612925136E-2</v>
      </c>
      <c r="W8" s="7">
        <f>$B8 * IFERROR(VLOOKUP("transport|PM25|Asthma symptoms wheeze", US_national_yearly!$D:$AM, 31, FALSE) / VLOOKUP("transport|PM25|Asthma symptoms wheeze", US_national_yearly!$D:$AM, 10, FALSE), 1)</f>
        <v>9.6838814612925136E-2</v>
      </c>
      <c r="X8" s="7">
        <f>$B8 * IFERROR(VLOOKUP("transport|PM25|Asthma symptoms wheeze", US_national_yearly!$D:$AM, 32, FALSE) / VLOOKUP("transport|PM25|Asthma symptoms wheeze", US_national_yearly!$D:$AM, 10, FALSE), 1)</f>
        <v>9.6838814612925136E-2</v>
      </c>
      <c r="Y8" s="7">
        <f>$B8 * IFERROR(VLOOKUP("transport|PM25|Asthma symptoms wheeze", US_national_yearly!$D:$AM, 33, FALSE) / VLOOKUP("transport|PM25|Asthma symptoms wheeze", US_national_yearly!$D:$AM, 10, FALSE), 1)</f>
        <v>9.6838814612925136E-2</v>
      </c>
      <c r="Z8" s="7">
        <f>$B8 * IFERROR(VLOOKUP("transport|PM25|Asthma symptoms wheeze", US_national_yearly!$D:$AM, 34, FALSE) / VLOOKUP("transport|PM25|Asthma symptoms wheeze", US_national_yearly!$D:$AM, 10, FALSE), 1)</f>
        <v>9.6838814612925136E-2</v>
      </c>
      <c r="AA8" s="7">
        <f>$B8 * IFERROR(VLOOKUP("transport|PM25|Asthma symptoms wheeze", US_national_yearly!$D:$AM, 35, FALSE) / VLOOKUP("transport|PM25|Asthma symptoms wheeze", US_national_yearly!$D:$AM, 10, FALSE), 1)</f>
        <v>9.6838814612925136E-2</v>
      </c>
      <c r="AB8" s="7">
        <f>$B8 * IFERROR(VLOOKUP("transport|PM25|Asthma symptoms wheeze", US_national_yearly!$D:$AM, 36, FALSE) / VLOOKUP("transport|PM25|Asthma symptoms wheeze", US_national_yearly!$D:$AM, 10, FALSE), 1)</f>
        <v>9.6838814612925136E-2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1.4389730149415398E-3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1.4472206282751068E-3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1.4554682416086733E-3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1.4637158549422402E-3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1.4719634682758068E-3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1.4808712424802793E-3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1.4897790166847518E-3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1.4982900564994993E-3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1.5068010963142475E-3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1.5153121361289954E-3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1.5238231759437436E-3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1.5323342157584911E-3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1.5384428374012444E-3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1.5445514590439972E-3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1.55066008068675E-3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1.5567687023295028E-3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1.562877323972256E-3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1.5686935366962199E-3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1.5745097494201843E-3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1.5803259621441483E-3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1.5861421748681122E-3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1.5919583875920759E-3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1.5975536584251287E-3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1.6031489292581808E-3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1.6087442000912331E-3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1.6143394709242853E-3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1.6199347417573376E-3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8.7891498386889946E-3</v>
      </c>
      <c r="C13" s="7">
        <f>$B13 * IFERROR(VLOOKUP("transport|PM25|Non-fatal heart attacks", US_national_yearly!$D:$AM, 11, FALSE) / VLOOKUP("transport|PM25|Non-fatal heart attacks", US_national_yearly!$D:$AM, 10, FALSE), 1)</f>
        <v>9.0446737482339553E-3</v>
      </c>
      <c r="D13" s="7">
        <f>$B13 * IFERROR(VLOOKUP("transport|PM25|Non-fatal heart attacks", US_national_yearly!$D:$AM, 12, FALSE) / VLOOKUP("transport|PM25|Non-fatal heart attacks", US_national_yearly!$D:$AM, 10, FALSE), 1)</f>
        <v>9.3001976577789178E-3</v>
      </c>
      <c r="E13" s="7">
        <f>$B13 * IFERROR(VLOOKUP("transport|PM25|Non-fatal heart attacks", US_national_yearly!$D:$AM, 13, FALSE) / VLOOKUP("transport|PM25|Non-fatal heart attacks", US_national_yearly!$D:$AM, 10, FALSE), 1)</f>
        <v>9.5557215673238768E-3</v>
      </c>
      <c r="F13" s="7">
        <f>$B13 * IFERROR(VLOOKUP("transport|PM25|Non-fatal heart attacks", US_national_yearly!$D:$AM, 14, FALSE) / VLOOKUP("transport|PM25|Non-fatal heart attacks", US_national_yearly!$D:$AM, 10, FALSE), 1)</f>
        <v>9.8112454768688392E-3</v>
      </c>
      <c r="G13" s="7">
        <f>$B13 * IFERROR(VLOOKUP("transport|PM25|Non-fatal heart attacks", US_national_yearly!$D:$AM, 15, FALSE) / VLOOKUP("transport|PM25|Non-fatal heart attacks", US_national_yearly!$D:$AM, 10, FALSE), 1)</f>
        <v>1.0052220677478121E-2</v>
      </c>
      <c r="H13" s="7">
        <f>$B13 * IFERROR(VLOOKUP("transport|PM25|Non-fatal heart attacks", US_national_yearly!$D:$AM, 16, FALSE) / VLOOKUP("transport|PM25|Non-fatal heart attacks", US_national_yearly!$D:$AM, 10, FALSE), 1)</f>
        <v>1.0293195878087401E-2</v>
      </c>
      <c r="I13" s="7">
        <f>$B13 * IFERROR(VLOOKUP("transport|PM25|Non-fatal heart attacks", US_national_yearly!$D:$AM, 17, FALSE) / VLOOKUP("transport|PM25|Non-fatal heart attacks", US_national_yearly!$D:$AM, 10, FALSE), 1)</f>
        <v>1.0486859753673037E-2</v>
      </c>
      <c r="J13" s="7">
        <f>$B13 * IFERROR(VLOOKUP("transport|PM25|Non-fatal heart attacks", US_national_yearly!$D:$AM, 18, FALSE) / VLOOKUP("transport|PM25|Non-fatal heart attacks", US_national_yearly!$D:$AM, 10, FALSE), 1)</f>
        <v>1.0680523629258672E-2</v>
      </c>
      <c r="K13" s="7">
        <f>$B13 * IFERROR(VLOOKUP("transport|PM25|Non-fatal heart attacks", US_national_yearly!$D:$AM, 19, FALSE) / VLOOKUP("transport|PM25|Non-fatal heart attacks", US_national_yearly!$D:$AM, 10, FALSE), 1)</f>
        <v>1.0874187504844311E-2</v>
      </c>
      <c r="L13" s="7">
        <f>$B13 * IFERROR(VLOOKUP("transport|PM25|Non-fatal heart attacks", US_national_yearly!$D:$AM, 20, FALSE) / VLOOKUP("transport|PM25|Non-fatal heart attacks", US_national_yearly!$D:$AM, 10, FALSE), 1)</f>
        <v>1.1067851380429946E-2</v>
      </c>
      <c r="M13" s="7">
        <f>$B13 * IFERROR(VLOOKUP("transport|PM25|Non-fatal heart attacks", US_national_yearly!$D:$AM, 21, FALSE) / VLOOKUP("transport|PM25|Non-fatal heart attacks", US_national_yearly!$D:$AM, 10, FALSE), 1)</f>
        <v>1.1261515256015583E-2</v>
      </c>
      <c r="N13" s="7">
        <f>$B13 * IFERROR(VLOOKUP("transport|PM25|Non-fatal heart attacks", US_national_yearly!$D:$AM, 22, FALSE) / VLOOKUP("transport|PM25|Non-fatal heart attacks", US_national_yearly!$D:$AM, 10, FALSE), 1)</f>
        <v>1.1386409332336029E-2</v>
      </c>
      <c r="O13" s="7">
        <f>$B13 * IFERROR(VLOOKUP("transport|PM25|Non-fatal heart attacks", US_national_yearly!$D:$AM, 23, FALSE) / VLOOKUP("transport|PM25|Non-fatal heart attacks", US_national_yearly!$D:$AM, 10, FALSE), 1)</f>
        <v>1.1511303408656474E-2</v>
      </c>
      <c r="P13" s="7">
        <f>$B13 * IFERROR(VLOOKUP("transport|PM25|Non-fatal heart attacks", US_national_yearly!$D:$AM, 24, FALSE) / VLOOKUP("transport|PM25|Non-fatal heart attacks", US_national_yearly!$D:$AM, 10, FALSE), 1)</f>
        <v>1.1636197484976921E-2</v>
      </c>
      <c r="Q13" s="7">
        <f>$B13 * IFERROR(VLOOKUP("transport|PM25|Non-fatal heart attacks", US_national_yearly!$D:$AM, 25, FALSE) / VLOOKUP("transport|PM25|Non-fatal heart attacks", US_national_yearly!$D:$AM, 10, FALSE), 1)</f>
        <v>1.1761091561297366E-2</v>
      </c>
      <c r="R13" s="7">
        <f>$B13 * IFERROR(VLOOKUP("transport|PM25|Non-fatal heart attacks", US_national_yearly!$D:$AM, 26, FALSE) / VLOOKUP("transport|PM25|Non-fatal heart attacks", US_national_yearly!$D:$AM, 10, FALSE), 1)</f>
        <v>1.1885985637617811E-2</v>
      </c>
      <c r="S13" s="7">
        <f>$B13 * IFERROR(VLOOKUP("transport|PM25|Non-fatal heart attacks", US_national_yearly!$D:$AM, 27, FALSE) / VLOOKUP("transport|PM25|Non-fatal heart attacks", US_national_yearly!$D:$AM, 10, FALSE), 1)</f>
        <v>1.1951758426404686E-2</v>
      </c>
      <c r="T13" s="7">
        <f>$B13 * IFERROR(VLOOKUP("transport|PM25|Non-fatal heart attacks", US_national_yearly!$D:$AM, 28, FALSE) / VLOOKUP("transport|PM25|Non-fatal heart attacks", US_national_yearly!$D:$AM, 10, FALSE), 1)</f>
        <v>1.2017531215191566E-2</v>
      </c>
      <c r="U13" s="7">
        <f>$B13 * IFERROR(VLOOKUP("transport|PM25|Non-fatal heart attacks", US_national_yearly!$D:$AM, 29, FALSE) / VLOOKUP("transport|PM25|Non-fatal heart attacks", US_national_yearly!$D:$AM, 10, FALSE), 1)</f>
        <v>1.2083304003978444E-2</v>
      </c>
      <c r="V13" s="7">
        <f>$B13 * IFERROR(VLOOKUP("transport|PM25|Non-fatal heart attacks", US_national_yearly!$D:$AM, 30, FALSE) / VLOOKUP("transport|PM25|Non-fatal heart attacks", US_national_yearly!$D:$AM, 10, FALSE), 1)</f>
        <v>1.214907679276532E-2</v>
      </c>
      <c r="W13" s="7">
        <f>$B13 * IFERROR(VLOOKUP("transport|PM25|Non-fatal heart attacks", US_national_yearly!$D:$AM, 31, FALSE) / VLOOKUP("transport|PM25|Non-fatal heart attacks", US_national_yearly!$D:$AM, 10, FALSE), 1)</f>
        <v>1.2214849581552199E-2</v>
      </c>
      <c r="X13" s="7">
        <f>$B13 * IFERROR(VLOOKUP("transport|PM25|Non-fatal heart attacks", US_national_yearly!$D:$AM, 32, FALSE) / VLOOKUP("transport|PM25|Non-fatal heart attacks", US_national_yearly!$D:$AM, 10, FALSE), 1)</f>
        <v>1.2264780638791236E-2</v>
      </c>
      <c r="Y13" s="7">
        <f>$B13 * IFERROR(VLOOKUP("transport|PM25|Non-fatal heart attacks", US_national_yearly!$D:$AM, 33, FALSE) / VLOOKUP("transport|PM25|Non-fatal heart attacks", US_national_yearly!$D:$AM, 10, FALSE), 1)</f>
        <v>1.2314711696030276E-2</v>
      </c>
      <c r="Z13" s="7">
        <f>$B13 * IFERROR(VLOOKUP("transport|PM25|Non-fatal heart attacks", US_national_yearly!$D:$AM, 34, FALSE) / VLOOKUP("transport|PM25|Non-fatal heart attacks", US_national_yearly!$D:$AM, 10, FALSE), 1)</f>
        <v>1.2364642753269312E-2</v>
      </c>
      <c r="AA13" s="7">
        <f>$B13 * IFERROR(VLOOKUP("transport|PM25|Non-fatal heart attacks", US_national_yearly!$D:$AM, 35, FALSE) / VLOOKUP("transport|PM25|Non-fatal heart attacks", US_national_yearly!$D:$AM, 10, FALSE), 1)</f>
        <v>1.2414573810508351E-2</v>
      </c>
      <c r="AB13" s="7">
        <f>$B13 * IFERROR(VLOOKUP("transport|PM25|Non-fatal heart attacks", US_national_yearly!$D:$AM, 36, FALSE) / VLOOKUP("transport|PM25|Non-fatal heart attacks", US_national_yearly!$D:$AM, 10, FALSE), 1)</f>
        <v>1.2464504867747389E-2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6.1024084509141812</v>
      </c>
      <c r="C14" s="7">
        <f>$B14 * IFERROR(VLOOKUP("transport|PM25|Minor restricted activity days", US_national_yearly!$D:$AM, 11, FALSE) / VLOOKUP("transport|PM25|Minor restricted activity days", US_national_yearly!$D:$AM, 10, FALSE), 1)</f>
        <v>6.117311256041325</v>
      </c>
      <c r="D14" s="7">
        <f>$B14 * IFERROR(VLOOKUP("transport|PM25|Minor restricted activity days", US_national_yearly!$D:$AM, 12, FALSE) / VLOOKUP("transport|PM25|Minor restricted activity days", US_national_yearly!$D:$AM, 10, FALSE), 1)</f>
        <v>6.1322140611684697</v>
      </c>
      <c r="E14" s="7">
        <f>$B14 * IFERROR(VLOOKUP("transport|PM25|Minor restricted activity days", US_national_yearly!$D:$AM, 13, FALSE) / VLOOKUP("transport|PM25|Minor restricted activity days", US_national_yearly!$D:$AM, 10, FALSE), 1)</f>
        <v>6.1471168662956153</v>
      </c>
      <c r="F14" s="7">
        <f>$B14 * IFERROR(VLOOKUP("transport|PM25|Minor restricted activity days", US_national_yearly!$D:$AM, 14, FALSE) / VLOOKUP("transport|PM25|Minor restricted activity days", US_national_yearly!$D:$AM, 10, FALSE), 1)</f>
        <v>6.1620196714227573</v>
      </c>
      <c r="G14" s="7">
        <f>$B14 * IFERROR(VLOOKUP("transport|PM25|Minor restricted activity days", US_national_yearly!$D:$AM, 15, FALSE) / VLOOKUP("transport|PM25|Minor restricted activity days", US_national_yearly!$D:$AM, 10, FALSE), 1)</f>
        <v>6.1840083143855509</v>
      </c>
      <c r="H14" s="7">
        <f>$B14 * IFERROR(VLOOKUP("transport|PM25|Minor restricted activity days", US_national_yearly!$D:$AM, 16, FALSE) / VLOOKUP("transport|PM25|Minor restricted activity days", US_national_yearly!$D:$AM, 10, FALSE), 1)</f>
        <v>6.2059969573483444</v>
      </c>
      <c r="I14" s="7">
        <f>$B14 * IFERROR(VLOOKUP("transport|PM25|Minor restricted activity days", US_national_yearly!$D:$AM, 17, FALSE) / VLOOKUP("transport|PM25|Minor restricted activity days", US_national_yearly!$D:$AM, 10, FALSE), 1)</f>
        <v>6.2435874675737164</v>
      </c>
      <c r="J14" s="7">
        <f>$B14 * IFERROR(VLOOKUP("transport|PM25|Minor restricted activity days", US_national_yearly!$D:$AM, 18, FALSE) / VLOOKUP("transport|PM25|Minor restricted activity days", US_national_yearly!$D:$AM, 10, FALSE), 1)</f>
        <v>6.2811779777990857</v>
      </c>
      <c r="K14" s="7">
        <f>$B14 * IFERROR(VLOOKUP("transport|PM25|Minor restricted activity days", US_national_yearly!$D:$AM, 19, FALSE) / VLOOKUP("transport|PM25|Minor restricted activity days", US_national_yearly!$D:$AM, 10, FALSE), 1)</f>
        <v>6.3187684880244577</v>
      </c>
      <c r="L14" s="7">
        <f>$B14 * IFERROR(VLOOKUP("transport|PM25|Minor restricted activity days", US_national_yearly!$D:$AM, 20, FALSE) / VLOOKUP("transport|PM25|Minor restricted activity days", US_national_yearly!$D:$AM, 10, FALSE), 1)</f>
        <v>6.3563589982498288</v>
      </c>
      <c r="M14" s="7">
        <f>$B14 * IFERROR(VLOOKUP("transport|PM25|Minor restricted activity days", US_national_yearly!$D:$AM, 21, FALSE) / VLOOKUP("transport|PM25|Minor restricted activity days", US_national_yearly!$D:$AM, 10, FALSE), 1)</f>
        <v>6.3939495084751989</v>
      </c>
      <c r="N14" s="7">
        <f>$B14 * IFERROR(VLOOKUP("transport|PM25|Minor restricted activity days", US_national_yearly!$D:$AM, 22, FALSE) / VLOOKUP("transport|PM25|Minor restricted activity days", US_national_yearly!$D:$AM, 10, FALSE), 1)</f>
        <v>6.4451552676594304</v>
      </c>
      <c r="O14" s="7">
        <f>$B14 * IFERROR(VLOOKUP("transport|PM25|Minor restricted activity days", US_national_yearly!$D:$AM, 23, FALSE) / VLOOKUP("transport|PM25|Minor restricted activity days", US_national_yearly!$D:$AM, 10, FALSE), 1)</f>
        <v>6.49636102684366</v>
      </c>
      <c r="P14" s="7">
        <f>$B14 * IFERROR(VLOOKUP("transport|PM25|Minor restricted activity days", US_national_yearly!$D:$AM, 24, FALSE) / VLOOKUP("transport|PM25|Minor restricted activity days", US_national_yearly!$D:$AM, 10, FALSE), 1)</f>
        <v>6.5475667860278906</v>
      </c>
      <c r="Q14" s="7">
        <f>$B14 * IFERROR(VLOOKUP("transport|PM25|Minor restricted activity days", US_national_yearly!$D:$AM, 25, FALSE) / VLOOKUP("transport|PM25|Minor restricted activity days", US_national_yearly!$D:$AM, 10, FALSE), 1)</f>
        <v>6.5987725452121202</v>
      </c>
      <c r="R14" s="7">
        <f>$B14 * IFERROR(VLOOKUP("transport|PM25|Minor restricted activity days", US_national_yearly!$D:$AM, 26, FALSE) / VLOOKUP("transport|PM25|Minor restricted activity days", US_national_yearly!$D:$AM, 10, FALSE), 1)</f>
        <v>6.6499783043963498</v>
      </c>
      <c r="S14" s="7">
        <f>$B14 * IFERROR(VLOOKUP("transport|PM25|Minor restricted activity days", US_national_yearly!$D:$AM, 27, FALSE) / VLOOKUP("transport|PM25|Minor restricted activity days", US_national_yearly!$D:$AM, 10, FALSE), 1)</f>
        <v>6.7015367008650095</v>
      </c>
      <c r="T14" s="7">
        <f>$B14 * IFERROR(VLOOKUP("transport|PM25|Minor restricted activity days", US_national_yearly!$D:$AM, 28, FALSE) / VLOOKUP("transport|PM25|Minor restricted activity days", US_national_yearly!$D:$AM, 10, FALSE), 1)</f>
        <v>6.7530950973336701</v>
      </c>
      <c r="U14" s="7">
        <f>$B14 * IFERROR(VLOOKUP("transport|PM25|Minor restricted activity days", US_national_yearly!$D:$AM, 29, FALSE) / VLOOKUP("transport|PM25|Minor restricted activity days", US_national_yearly!$D:$AM, 10, FALSE), 1)</f>
        <v>6.8046534938023298</v>
      </c>
      <c r="V14" s="7">
        <f>$B14 * IFERROR(VLOOKUP("transport|PM25|Minor restricted activity days", US_national_yearly!$D:$AM, 30, FALSE) / VLOOKUP("transport|PM25|Minor restricted activity days", US_national_yearly!$D:$AM, 10, FALSE), 1)</f>
        <v>6.8562118902709894</v>
      </c>
      <c r="W14" s="7">
        <f>$B14 * IFERROR(VLOOKUP("transport|PM25|Minor restricted activity days", US_national_yearly!$D:$AM, 31, FALSE) / VLOOKUP("transport|PM25|Minor restricted activity days", US_national_yearly!$D:$AM, 10, FALSE), 1)</f>
        <v>6.9077702867396491</v>
      </c>
      <c r="X14" s="7">
        <f>$B14 * IFERROR(VLOOKUP("transport|PM25|Minor restricted activity days", US_national_yearly!$D:$AM, 32, FALSE) / VLOOKUP("transport|PM25|Minor restricted activity days", US_national_yearly!$D:$AM, 10, FALSE), 1)</f>
        <v>6.952528161747817</v>
      </c>
      <c r="Y14" s="7">
        <f>$B14 * IFERROR(VLOOKUP("transport|PM25|Minor restricted activity days", US_national_yearly!$D:$AM, 33, FALSE) / VLOOKUP("transport|PM25|Minor restricted activity days", US_national_yearly!$D:$AM, 10, FALSE), 1)</f>
        <v>6.9972860367559848</v>
      </c>
      <c r="Z14" s="7">
        <f>$B14 * IFERROR(VLOOKUP("transport|PM25|Minor restricted activity days", US_national_yearly!$D:$AM, 34, FALSE) / VLOOKUP("transport|PM25|Minor restricted activity days", US_national_yearly!$D:$AM, 10, FALSE), 1)</f>
        <v>7.0420439117641527</v>
      </c>
      <c r="AA14" s="7">
        <f>$B14 * IFERROR(VLOOKUP("transport|PM25|Minor restricted activity days", US_national_yearly!$D:$AM, 35, FALSE) / VLOOKUP("transport|PM25|Minor restricted activity days", US_national_yearly!$D:$AM, 10, FALSE), 1)</f>
        <v>7.0868017867723188</v>
      </c>
      <c r="AB14" s="7">
        <f>$B14 * IFERROR(VLOOKUP("transport|PM25|Minor restricted activity days", US_national_yearly!$D:$AM, 36, FALSE) / VLOOKUP("transport|PM25|Minor restricted activity days", US_national_yearly!$D:$AM, 10, FALSE), 1)</f>
        <v>7.1315596617804866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1.0349059338313016</v>
      </c>
      <c r="C15" s="7">
        <f>$B15 * IFERROR(VLOOKUP("transport|PM25|Work loss days", US_national_yearly!$D:$AM, 11, FALSE) / VLOOKUP("transport|PM25|Work loss days", US_national_yearly!$D:$AM, 10, FALSE), 1)</f>
        <v>1.0381137694832854</v>
      </c>
      <c r="D15" s="7">
        <f>$B15 * IFERROR(VLOOKUP("transport|PM25|Work loss days", US_national_yearly!$D:$AM, 12, FALSE) / VLOOKUP("transport|PM25|Work loss days", US_national_yearly!$D:$AM, 10, FALSE), 1)</f>
        <v>1.0413216051352694</v>
      </c>
      <c r="E15" s="7">
        <f>$B15 * IFERROR(VLOOKUP("transport|PM25|Work loss days", US_national_yearly!$D:$AM, 13, FALSE) / VLOOKUP("transport|PM25|Work loss days", US_national_yearly!$D:$AM, 10, FALSE), 1)</f>
        <v>1.0445294407872532</v>
      </c>
      <c r="F15" s="7">
        <f>$B15 * IFERROR(VLOOKUP("transport|PM25|Work loss days", US_national_yearly!$D:$AM, 14, FALSE) / VLOOKUP("transport|PM25|Work loss days", US_national_yearly!$D:$AM, 10, FALSE), 1)</f>
        <v>1.047737276439237</v>
      </c>
      <c r="G15" s="7">
        <f>$B15 * IFERROR(VLOOKUP("transport|PM25|Work loss days", US_national_yearly!$D:$AM, 15, FALSE) / VLOOKUP("transport|PM25|Work loss days", US_national_yearly!$D:$AM, 10, FALSE), 1)</f>
        <v>1.0519429536740572</v>
      </c>
      <c r="H15" s="7">
        <f>$B15 * IFERROR(VLOOKUP("transport|PM25|Work loss days", US_national_yearly!$D:$AM, 16, FALSE) / VLOOKUP("transport|PM25|Work loss days", US_national_yearly!$D:$AM, 10, FALSE), 1)</f>
        <v>1.0561486309088779</v>
      </c>
      <c r="I15" s="7">
        <f>$B15 * IFERROR(VLOOKUP("transport|PM25|Work loss days", US_national_yearly!$D:$AM, 17, FALSE) / VLOOKUP("transport|PM25|Work loss days", US_national_yearly!$D:$AM, 10, FALSE), 1)</f>
        <v>1.0623419531981741</v>
      </c>
      <c r="J15" s="7">
        <f>$B15 * IFERROR(VLOOKUP("transport|PM25|Work loss days", US_national_yearly!$D:$AM, 18, FALSE) / VLOOKUP("transport|PM25|Work loss days", US_national_yearly!$D:$AM, 10, FALSE), 1)</f>
        <v>1.0685352754874704</v>
      </c>
      <c r="K15" s="7">
        <f>$B15 * IFERROR(VLOOKUP("transport|PM25|Work loss days", US_national_yearly!$D:$AM, 19, FALSE) / VLOOKUP("transport|PM25|Work loss days", US_national_yearly!$D:$AM, 10, FALSE), 1)</f>
        <v>1.0747285977767667</v>
      </c>
      <c r="L15" s="7">
        <f>$B15 * IFERROR(VLOOKUP("transport|PM25|Work loss days", US_national_yearly!$D:$AM, 20, FALSE) / VLOOKUP("transport|PM25|Work loss days", US_national_yearly!$D:$AM, 10, FALSE), 1)</f>
        <v>1.0809219200660631</v>
      </c>
      <c r="M15" s="7">
        <f>$B15 * IFERROR(VLOOKUP("transport|PM25|Work loss days", US_national_yearly!$D:$AM, 21, FALSE) / VLOOKUP("transport|PM25|Work loss days", US_national_yearly!$D:$AM, 10, FALSE), 1)</f>
        <v>1.0871152423553594</v>
      </c>
      <c r="N15" s="7">
        <f>$B15 * IFERROR(VLOOKUP("transport|PM25|Work loss days", US_national_yearly!$D:$AM, 22, FALSE) / VLOOKUP("transport|PM25|Work loss days", US_national_yearly!$D:$AM, 10, FALSE), 1)</f>
        <v>1.0949100072215776</v>
      </c>
      <c r="O15" s="7">
        <f>$B15 * IFERROR(VLOOKUP("transport|PM25|Work loss days", US_national_yearly!$D:$AM, 23, FALSE) / VLOOKUP("transport|PM25|Work loss days", US_national_yearly!$D:$AM, 10, FALSE), 1)</f>
        <v>1.1027047720877956</v>
      </c>
      <c r="P15" s="7">
        <f>$B15 * IFERROR(VLOOKUP("transport|PM25|Work loss days", US_national_yearly!$D:$AM, 24, FALSE) / VLOOKUP("transport|PM25|Work loss days", US_national_yearly!$D:$AM, 10, FALSE), 1)</f>
        <v>1.1104995369540138</v>
      </c>
      <c r="Q15" s="7">
        <f>$B15 * IFERROR(VLOOKUP("transport|PM25|Work loss days", US_national_yearly!$D:$AM, 25, FALSE) / VLOOKUP("transport|PM25|Work loss days", US_national_yearly!$D:$AM, 10, FALSE), 1)</f>
        <v>1.1182943018202318</v>
      </c>
      <c r="R15" s="7">
        <f>$B15 * IFERROR(VLOOKUP("transport|PM25|Work loss days", US_national_yearly!$D:$AM, 26, FALSE) / VLOOKUP("transport|PM25|Work loss days", US_national_yearly!$D:$AM, 10, FALSE), 1)</f>
        <v>1.1260890666864498</v>
      </c>
      <c r="S15" s="7">
        <f>$B15 * IFERROR(VLOOKUP("transport|PM25|Work loss days", US_national_yearly!$D:$AM, 27, FALSE) / VLOOKUP("transport|PM25|Work loss days", US_national_yearly!$D:$AM, 10, FALSE), 1)</f>
        <v>1.1347104094139153</v>
      </c>
      <c r="T15" s="7">
        <f>$B15 * IFERROR(VLOOKUP("transport|PM25|Work loss days", US_national_yearly!$D:$AM, 28, FALSE) / VLOOKUP("transport|PM25|Work loss days", US_national_yearly!$D:$AM, 10, FALSE), 1)</f>
        <v>1.1433317521413808</v>
      </c>
      <c r="U15" s="7">
        <f>$B15 * IFERROR(VLOOKUP("transport|PM25|Work loss days", US_national_yearly!$D:$AM, 29, FALSE) / VLOOKUP("transport|PM25|Work loss days", US_national_yearly!$D:$AM, 10, FALSE), 1)</f>
        <v>1.1519530948688461</v>
      </c>
      <c r="V15" s="7">
        <f>$B15 * IFERROR(VLOOKUP("transport|PM25|Work loss days", US_national_yearly!$D:$AM, 30, FALSE) / VLOOKUP("transport|PM25|Work loss days", US_national_yearly!$D:$AM, 10, FALSE), 1)</f>
        <v>1.1605744375963116</v>
      </c>
      <c r="W15" s="7">
        <f>$B15 * IFERROR(VLOOKUP("transport|PM25|Work loss days", US_national_yearly!$D:$AM, 31, FALSE) / VLOOKUP("transport|PM25|Work loss days", US_national_yearly!$D:$AM, 10, FALSE), 1)</f>
        <v>1.1691957803237771</v>
      </c>
      <c r="X15" s="7">
        <f>$B15 * IFERROR(VLOOKUP("transport|PM25|Work loss days", US_national_yearly!$D:$AM, 32, FALSE) / VLOOKUP("transport|PM25|Work loss days", US_national_yearly!$D:$AM, 10, FALSE), 1)</f>
        <v>1.1768452365304023</v>
      </c>
      <c r="Y15" s="7">
        <f>$B15 * IFERROR(VLOOKUP("transport|PM25|Work loss days", US_national_yearly!$D:$AM, 33, FALSE) / VLOOKUP("transport|PM25|Work loss days", US_national_yearly!$D:$AM, 10, FALSE), 1)</f>
        <v>1.1844946927370277</v>
      </c>
      <c r="Z15" s="7">
        <f>$B15 * IFERROR(VLOOKUP("transport|PM25|Work loss days", US_national_yearly!$D:$AM, 34, FALSE) / VLOOKUP("transport|PM25|Work loss days", US_national_yearly!$D:$AM, 10, FALSE), 1)</f>
        <v>1.1921441489436531</v>
      </c>
      <c r="AA15" s="7">
        <f>$B15 * IFERROR(VLOOKUP("transport|PM25|Work loss days", US_national_yearly!$D:$AM, 35, FALSE) / VLOOKUP("transport|PM25|Work loss days", US_national_yearly!$D:$AM, 10, FALSE), 1)</f>
        <v>1.1997936051502787</v>
      </c>
      <c r="AB15" s="7">
        <f>$B15 * IFERROR(VLOOKUP("transport|PM25|Work loss days", US_national_yearly!$D:$AM, 36, FALSE) / VLOOKUP("transport|PM25|Work loss days", US_national_yearly!$D:$AM, 10, FALSE), 1)</f>
        <v>1.2074430613569038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2.2699645934493402E-3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2.3377927183861804E-3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2.405620843323021E-3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2.4734489682598617E-3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2.5412770931967023E-3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2.6062443209686446E-3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2.6712115487405878E-3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2.7267750887749421E-3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2.7823386288092955E-3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2.8379021688436489E-3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2.8934657088780036E-3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2.949029248912357E-3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2.9860747296429533E-3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3.0231202103735495E-3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3.0601656911041454E-3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3.0972111718347421E-3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3.1342566525653379E-3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3.1538571704774966E-3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3.1734576883896549E-3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3.1930582063018124E-3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3.2126587242139707E-3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3.232259242126129E-3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3.245454568609221E-3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3.2586498950923125E-3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3.2718452215754045E-3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3.2850405480584965E-3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3.2982358745415881E-3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6.0322346816479844E-4</v>
      </c>
      <c r="C2" s="7">
        <f>$B2 * IFERROR(VLOOKUP("transport|NOx|Premature mortality", US_national_yearly!$D:$AM, 11, FALSE) / VLOOKUP("transport|NOx|Premature mortality", US_national_yearly!$D:$AM, 10, FALSE), 1)</f>
        <v>6.1208380131169801E-4</v>
      </c>
      <c r="D2" s="7">
        <f>$B2 * IFERROR(VLOOKUP("transport|NOx|Premature mortality", US_national_yearly!$D:$AM, 12, FALSE) / VLOOKUP("transport|NOx|Premature mortality", US_national_yearly!$D:$AM, 10, FALSE), 1)</f>
        <v>6.2094413445859748E-4</v>
      </c>
      <c r="E2" s="7">
        <f>$B2 * IFERROR(VLOOKUP("transport|NOx|Premature mortality", US_national_yearly!$D:$AM, 13, FALSE) / VLOOKUP("transport|NOx|Premature mortality", US_national_yearly!$D:$AM, 10, FALSE), 1)</f>
        <v>6.2980446760549705E-4</v>
      </c>
      <c r="F2" s="7">
        <f>$B2 * IFERROR(VLOOKUP("transport|NOx|Premature mortality", US_national_yearly!$D:$AM, 14, FALSE) / VLOOKUP("transport|NOx|Premature mortality", US_national_yearly!$D:$AM, 10, FALSE), 1)</f>
        <v>6.3866480075239662E-4</v>
      </c>
      <c r="G2" s="7">
        <f>$B2 * IFERROR(VLOOKUP("transport|NOx|Premature mortality", US_national_yearly!$D:$AM, 15, FALSE) / VLOOKUP("transport|NOx|Premature mortality", US_national_yearly!$D:$AM, 10, FALSE), 1)</f>
        <v>6.5458005388144259E-4</v>
      </c>
      <c r="H2" s="7">
        <f>$B2 * IFERROR(VLOOKUP("transport|NOx|Premature mortality", US_national_yearly!$D:$AM, 16, FALSE) / VLOOKUP("transport|NOx|Premature mortality", US_national_yearly!$D:$AM, 10, FALSE), 1)</f>
        <v>6.7049530701048876E-4</v>
      </c>
      <c r="I2" s="7">
        <f>$B2 * IFERROR(VLOOKUP("transport|NOx|Premature mortality", US_national_yearly!$D:$AM, 17, FALSE) / VLOOKUP("transport|NOx|Premature mortality", US_national_yearly!$D:$AM, 10, FALSE), 1)</f>
        <v>6.8076890479591538E-4</v>
      </c>
      <c r="J2" s="7">
        <f>$B2 * IFERROR(VLOOKUP("transport|NOx|Premature mortality", US_national_yearly!$D:$AM, 18, FALSE) / VLOOKUP("transport|NOx|Premature mortality", US_national_yearly!$D:$AM, 10, FALSE), 1)</f>
        <v>6.910425025813421E-4</v>
      </c>
      <c r="K2" s="7">
        <f>$B2 * IFERROR(VLOOKUP("transport|NOx|Premature mortality", US_national_yearly!$D:$AM, 19, FALSE) / VLOOKUP("transport|NOx|Premature mortality", US_national_yearly!$D:$AM, 10, FALSE), 1)</f>
        <v>7.0131610036676872E-4</v>
      </c>
      <c r="L2" s="7">
        <f>$B2 * IFERROR(VLOOKUP("transport|NOx|Premature mortality", US_national_yearly!$D:$AM, 20, FALSE) / VLOOKUP("transport|NOx|Premature mortality", US_national_yearly!$D:$AM, 10, FALSE), 1)</f>
        <v>7.1158969815219534E-4</v>
      </c>
      <c r="M2" s="7">
        <f>$B2 * IFERROR(VLOOKUP("transport|NOx|Premature mortality", US_national_yearly!$D:$AM, 21, FALSE) / VLOOKUP("transport|NOx|Premature mortality", US_national_yearly!$D:$AM, 10, FALSE), 1)</f>
        <v>7.2186329593762206E-4</v>
      </c>
      <c r="N2" s="7">
        <f>$B2 * IFERROR(VLOOKUP("transport|NOx|Premature mortality", US_national_yearly!$D:$AM, 22, FALSE) / VLOOKUP("transport|NOx|Premature mortality", US_national_yearly!$D:$AM, 10, FALSE), 1)</f>
        <v>7.2947393723800586E-4</v>
      </c>
      <c r="O2" s="7">
        <f>$B2 * IFERROR(VLOOKUP("transport|NOx|Premature mortality", US_national_yearly!$D:$AM, 23, FALSE) / VLOOKUP("transport|NOx|Premature mortality", US_national_yearly!$D:$AM, 10, FALSE), 1)</f>
        <v>7.3708457853838955E-4</v>
      </c>
      <c r="P2" s="7">
        <f>$B2 * IFERROR(VLOOKUP("transport|NOx|Premature mortality", US_national_yearly!$D:$AM, 24, FALSE) / VLOOKUP("transport|NOx|Premature mortality", US_national_yearly!$D:$AM, 10, FALSE), 1)</f>
        <v>7.4469521983877324E-4</v>
      </c>
      <c r="Q2" s="7">
        <f>$B2 * IFERROR(VLOOKUP("transport|NOx|Premature mortality", US_national_yearly!$D:$AM, 25, FALSE) / VLOOKUP("transport|NOx|Premature mortality", US_national_yearly!$D:$AM, 10, FALSE), 1)</f>
        <v>7.5230586113915715E-4</v>
      </c>
      <c r="R2" s="7">
        <f>$B2 * IFERROR(VLOOKUP("transport|NOx|Premature mortality", US_national_yearly!$D:$AM, 26, FALSE) / VLOOKUP("transport|NOx|Premature mortality", US_national_yearly!$D:$AM, 10, FALSE), 1)</f>
        <v>7.5991650243954084E-4</v>
      </c>
      <c r="S2" s="7">
        <f>$B2 * IFERROR(VLOOKUP("transport|NOx|Premature mortality", US_national_yearly!$D:$AM, 27, FALSE) / VLOOKUP("transport|NOx|Premature mortality", US_national_yearly!$D:$AM, 10, FALSE), 1)</f>
        <v>7.6337561554870473E-4</v>
      </c>
      <c r="T2" s="7">
        <f>$B2 * IFERROR(VLOOKUP("transport|NOx|Premature mortality", US_national_yearly!$D:$AM, 28, FALSE) / VLOOKUP("transport|NOx|Premature mortality", US_national_yearly!$D:$AM, 10, FALSE), 1)</f>
        <v>7.6683472865786862E-4</v>
      </c>
      <c r="U2" s="7">
        <f>$B2 * IFERROR(VLOOKUP("transport|NOx|Premature mortality", US_national_yearly!$D:$AM, 29, FALSE) / VLOOKUP("transport|NOx|Premature mortality", US_national_yearly!$D:$AM, 10, FALSE), 1)</f>
        <v>7.7029384176703251E-4</v>
      </c>
      <c r="V2" s="7">
        <f>$B2 * IFERROR(VLOOKUP("transport|NOx|Premature mortality", US_national_yearly!$D:$AM, 30, FALSE) / VLOOKUP("transport|NOx|Premature mortality", US_national_yearly!$D:$AM, 10, FALSE), 1)</f>
        <v>7.7375295487619629E-4</v>
      </c>
      <c r="W2" s="7">
        <f>$B2 * IFERROR(VLOOKUP("transport|NOx|Premature mortality", US_national_yearly!$D:$AM, 31, FALSE) / VLOOKUP("transport|NOx|Premature mortality", US_national_yearly!$D:$AM, 10, FALSE), 1)</f>
        <v>7.7721206798536029E-4</v>
      </c>
      <c r="X2" s="7">
        <f>$B2 * IFERROR(VLOOKUP("transport|NOx|Premature mortality", US_national_yearly!$D:$AM, 32, FALSE) / VLOOKUP("transport|NOx|Premature mortality", US_national_yearly!$D:$AM, 10, FALSE), 1)</f>
        <v>7.7733188967791492E-4</v>
      </c>
      <c r="Y2" s="7">
        <f>$B2 * IFERROR(VLOOKUP("transport|NOx|Premature mortality", US_national_yearly!$D:$AM, 33, FALSE) / VLOOKUP("transport|NOx|Premature mortality", US_national_yearly!$D:$AM, 10, FALSE), 1)</f>
        <v>7.7745171137046955E-4</v>
      </c>
      <c r="Z2" s="7">
        <f>$B2 * IFERROR(VLOOKUP("transport|NOx|Premature mortality", US_national_yearly!$D:$AM, 34, FALSE) / VLOOKUP("transport|NOx|Premature mortality", US_national_yearly!$D:$AM, 10, FALSE), 1)</f>
        <v>7.7757153306302407E-4</v>
      </c>
      <c r="AA2" s="7">
        <f>$B2 * IFERROR(VLOOKUP("transport|NOx|Premature mortality", US_national_yearly!$D:$AM, 35, FALSE) / VLOOKUP("transport|NOx|Premature mortality", US_national_yearly!$D:$AM, 10, FALSE), 1)</f>
        <v>7.7769135475557881E-4</v>
      </c>
      <c r="AB2" s="7">
        <f>$B2 * IFERROR(VLOOKUP("transport|NOx|Premature mortality", US_national_yearly!$D:$AM, 36, FALSE) / VLOOKUP("transport|NOx|Premature mortality", US_national_yearly!$D:$AM, 10, FALSE), 1)</f>
        <v>7.7781117644813345E-4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1.4650335845664381E-6</v>
      </c>
      <c r="C3" s="7">
        <f>$B3 * IFERROR(VLOOKUP("transport|NOx|Infant mortality", US_national_yearly!$D:$AM, 11, FALSE) / VLOOKUP("transport|NOx|Infant mortality", US_national_yearly!$D:$AM, 10, FALSE), 1)</f>
        <v>1.451075406529797E-6</v>
      </c>
      <c r="D3" s="7">
        <f>$B3 * IFERROR(VLOOKUP("transport|NOx|Infant mortality", US_national_yearly!$D:$AM, 12, FALSE) / VLOOKUP("transport|NOx|Infant mortality", US_national_yearly!$D:$AM, 10, FALSE), 1)</f>
        <v>1.4371172284931555E-6</v>
      </c>
      <c r="E3" s="7">
        <f>$B3 * IFERROR(VLOOKUP("transport|NOx|Infant mortality", US_national_yearly!$D:$AM, 13, FALSE) / VLOOKUP("transport|NOx|Infant mortality", US_national_yearly!$D:$AM, 10, FALSE), 1)</f>
        <v>1.4231590504565144E-6</v>
      </c>
      <c r="F3" s="7">
        <f>$B3 * IFERROR(VLOOKUP("transport|NOx|Infant mortality", US_national_yearly!$D:$AM, 14, FALSE) / VLOOKUP("transport|NOx|Infant mortality", US_national_yearly!$D:$AM, 10, FALSE), 1)</f>
        <v>1.4092008724198732E-6</v>
      </c>
      <c r="G3" s="7">
        <f>$B3 * IFERROR(VLOOKUP("transport|NOx|Infant mortality", US_national_yearly!$D:$AM, 15, FALSE) / VLOOKUP("transport|NOx|Infant mortality", US_national_yearly!$D:$AM, 10, FALSE), 1)</f>
        <v>9.3549712683613474E-7</v>
      </c>
      <c r="H3" s="7">
        <f>$B3 * IFERROR(VLOOKUP("transport|NOx|Infant mortality", US_national_yearly!$D:$AM, 16, FALSE) / VLOOKUP("transport|NOx|Infant mortality", US_national_yearly!$D:$AM, 10, FALSE), 1)</f>
        <v>4.6179338125239638E-7</v>
      </c>
      <c r="I3" s="7">
        <f>$B3 * IFERROR(VLOOKUP("transport|NOx|Infant mortality", US_national_yearly!$D:$AM, 17, FALSE) / VLOOKUP("transport|NOx|Infant mortality", US_national_yearly!$D:$AM, 10, FALSE), 1)</f>
        <v>4.5852806112482478E-7</v>
      </c>
      <c r="J3" s="7">
        <f>$B3 * IFERROR(VLOOKUP("transport|NOx|Infant mortality", US_national_yearly!$D:$AM, 18, FALSE) / VLOOKUP("transport|NOx|Infant mortality", US_national_yearly!$D:$AM, 10, FALSE), 1)</f>
        <v>4.5526274099725313E-7</v>
      </c>
      <c r="K3" s="7">
        <f>$B3 * IFERROR(VLOOKUP("transport|NOx|Infant mortality", US_national_yearly!$D:$AM, 19, FALSE) / VLOOKUP("transport|NOx|Infant mortality", US_national_yearly!$D:$AM, 10, FALSE), 1)</f>
        <v>4.5199742086968153E-7</v>
      </c>
      <c r="L3" s="7">
        <f>$B3 * IFERROR(VLOOKUP("transport|NOx|Infant mortality", US_national_yearly!$D:$AM, 20, FALSE) / VLOOKUP("transport|NOx|Infant mortality", US_national_yearly!$D:$AM, 10, FALSE), 1)</f>
        <v>4.4873210074210993E-7</v>
      </c>
      <c r="M3" s="7">
        <f>$B3 * IFERROR(VLOOKUP("transport|NOx|Infant mortality", US_national_yearly!$D:$AM, 21, FALSE) / VLOOKUP("transport|NOx|Infant mortality", US_national_yearly!$D:$AM, 10, FALSE), 1)</f>
        <v>4.4546678061453823E-7</v>
      </c>
      <c r="N3" s="7">
        <f>$B3 * IFERROR(VLOOKUP("transport|NOx|Infant mortality", US_national_yearly!$D:$AM, 22, FALSE) / VLOOKUP("transport|NOx|Infant mortality", US_national_yearly!$D:$AM, 10, FALSE), 1)</f>
        <v>4.4329939764500383E-7</v>
      </c>
      <c r="O3" s="7">
        <f>$B3 * IFERROR(VLOOKUP("transport|NOx|Infant mortality", US_national_yearly!$D:$AM, 23, FALSE) / VLOOKUP("transport|NOx|Infant mortality", US_national_yearly!$D:$AM, 10, FALSE), 1)</f>
        <v>4.4113201467546942E-7</v>
      </c>
      <c r="P3" s="7">
        <f>$B3 * IFERROR(VLOOKUP("transport|NOx|Infant mortality", US_national_yearly!$D:$AM, 24, FALSE) / VLOOKUP("transport|NOx|Infant mortality", US_national_yearly!$D:$AM, 10, FALSE), 1)</f>
        <v>4.3896463170593502E-7</v>
      </c>
      <c r="Q3" s="7">
        <f>$B3 * IFERROR(VLOOKUP("transport|NOx|Infant mortality", US_national_yearly!$D:$AM, 25, FALSE) / VLOOKUP("transport|NOx|Infant mortality", US_national_yearly!$D:$AM, 10, FALSE), 1)</f>
        <v>4.3679724873640061E-7</v>
      </c>
      <c r="R3" s="7">
        <f>$B3 * IFERROR(VLOOKUP("transport|NOx|Infant mortality", US_national_yearly!$D:$AM, 26, FALSE) / VLOOKUP("transport|NOx|Infant mortality", US_national_yearly!$D:$AM, 10, FALSE), 1)</f>
        <v>4.3462986576686616E-7</v>
      </c>
      <c r="S3" s="7">
        <f>$B3 * IFERROR(VLOOKUP("transport|NOx|Infant mortality", US_national_yearly!$D:$AM, 27, FALSE) / VLOOKUP("transport|NOx|Infant mortality", US_national_yearly!$D:$AM, 10, FALSE), 1)</f>
        <v>4.3202432677195411E-7</v>
      </c>
      <c r="T3" s="7">
        <f>$B3 * IFERROR(VLOOKUP("transport|NOx|Infant mortality", US_national_yearly!$D:$AM, 28, FALSE) / VLOOKUP("transport|NOx|Infant mortality", US_national_yearly!$D:$AM, 10, FALSE), 1)</f>
        <v>4.2941878777704212E-7</v>
      </c>
      <c r="U3" s="7">
        <f>$B3 * IFERROR(VLOOKUP("transport|NOx|Infant mortality", US_national_yearly!$D:$AM, 29, FALSE) / VLOOKUP("transport|NOx|Infant mortality", US_national_yearly!$D:$AM, 10, FALSE), 1)</f>
        <v>4.2681324878213008E-7</v>
      </c>
      <c r="V3" s="7">
        <f>$B3 * IFERROR(VLOOKUP("transport|NOx|Infant mortality", US_national_yearly!$D:$AM, 30, FALSE) / VLOOKUP("transport|NOx|Infant mortality", US_national_yearly!$D:$AM, 10, FALSE), 1)</f>
        <v>4.2420770978721803E-7</v>
      </c>
      <c r="W3" s="7">
        <f>$B3 * IFERROR(VLOOKUP("transport|NOx|Infant mortality", US_national_yearly!$D:$AM, 31, FALSE) / VLOOKUP("transport|NOx|Infant mortality", US_national_yearly!$D:$AM, 10, FALSE), 1)</f>
        <v>4.2160217079230599E-7</v>
      </c>
      <c r="X3" s="7">
        <f>$B3 * IFERROR(VLOOKUP("transport|NOx|Infant mortality", US_national_yearly!$D:$AM, 32, FALSE) / VLOOKUP("transport|NOx|Infant mortality", US_national_yearly!$D:$AM, 10, FALSE), 1)</f>
        <v>4.1884277899797091E-7</v>
      </c>
      <c r="Y3" s="7">
        <f>$B3 * IFERROR(VLOOKUP("transport|NOx|Infant mortality", US_national_yearly!$D:$AM, 33, FALSE) / VLOOKUP("transport|NOx|Infant mortality", US_national_yearly!$D:$AM, 10, FALSE), 1)</f>
        <v>4.1608338720363578E-7</v>
      </c>
      <c r="Z3" s="7">
        <f>$B3 * IFERROR(VLOOKUP("transport|NOx|Infant mortality", US_national_yearly!$D:$AM, 34, FALSE) / VLOOKUP("transport|NOx|Infant mortality", US_national_yearly!$D:$AM, 10, FALSE), 1)</f>
        <v>4.133239954093007E-7</v>
      </c>
      <c r="AA3" s="7">
        <f>$B3 * IFERROR(VLOOKUP("transport|NOx|Infant mortality", US_national_yearly!$D:$AM, 35, FALSE) / VLOOKUP("transport|NOx|Infant mortality", US_national_yearly!$D:$AM, 10, FALSE), 1)</f>
        <v>4.1056460361496557E-7</v>
      </c>
      <c r="AB3" s="7">
        <f>$B3 * IFERROR(VLOOKUP("transport|NOx|Infant mortality", US_national_yearly!$D:$AM, 36, FALSE) / VLOOKUP("transport|NOx|Infant mortality", US_national_yearly!$D:$AM, 10, FALSE), 1)</f>
        <v>4.0780521182063044E-7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1.3549897508706085E-3</v>
      </c>
      <c r="C6" s="7">
        <f>$B6 * IFERROR(VLOOKUP("transport|NOx|Asthma symptoms cough", US_national_yearly!$D:$AM, 11, FALSE) / VLOOKUP("transport|NOx|Asthma symptoms cough", US_national_yearly!$D:$AM, 10, FALSE), 1)</f>
        <v>1.3735146760855599E-3</v>
      </c>
      <c r="D6" s="7">
        <f>$B6 * IFERROR(VLOOKUP("transport|NOx|Asthma symptoms cough", US_national_yearly!$D:$AM, 12, FALSE) / VLOOKUP("transport|NOx|Asthma symptoms cough", US_national_yearly!$D:$AM, 10, FALSE), 1)</f>
        <v>1.392039601300511E-3</v>
      </c>
      <c r="E6" s="7">
        <f>$B6 * IFERROR(VLOOKUP("transport|NOx|Asthma symptoms cough", US_national_yearly!$D:$AM, 13, FALSE) / VLOOKUP("transport|NOx|Asthma symptoms cough", US_national_yearly!$D:$AM, 10, FALSE), 1)</f>
        <v>1.4105645265154623E-3</v>
      </c>
      <c r="F6" s="7">
        <f>$B6 * IFERROR(VLOOKUP("transport|NOx|Asthma symptoms cough", US_national_yearly!$D:$AM, 14, FALSE) / VLOOKUP("transport|NOx|Asthma symptoms cough", US_national_yearly!$D:$AM, 10, FALSE), 1)</f>
        <v>1.4290894517304134E-3</v>
      </c>
      <c r="G6" s="7">
        <f>$B6 * IFERROR(VLOOKUP("transport|NOx|Asthma symptoms cough", US_national_yearly!$D:$AM, 15, FALSE) / VLOOKUP("transport|NOx|Asthma symptoms cough", US_national_yearly!$D:$AM, 10, FALSE), 1)</f>
        <v>1.4438790158311436E-3</v>
      </c>
      <c r="H6" s="7">
        <f>$B6 * IFERROR(VLOOKUP("transport|NOx|Asthma symptoms cough", US_national_yearly!$D:$AM, 16, FALSE) / VLOOKUP("transport|NOx|Asthma symptoms cough", US_national_yearly!$D:$AM, 10, FALSE), 1)</f>
        <v>1.458668579931874E-3</v>
      </c>
      <c r="I6" s="7">
        <f>$B6 * IFERROR(VLOOKUP("transport|NOx|Asthma symptoms cough", US_national_yearly!$D:$AM, 17, FALSE) / VLOOKUP("transport|NOx|Asthma symptoms cough", US_national_yearly!$D:$AM, 10, FALSE), 1)</f>
        <v>1.4637589364674148E-3</v>
      </c>
      <c r="J6" s="7">
        <f>$B6 * IFERROR(VLOOKUP("transport|NOx|Asthma symptoms cough", US_national_yearly!$D:$AM, 18, FALSE) / VLOOKUP("transport|NOx|Asthma symptoms cough", US_national_yearly!$D:$AM, 10, FALSE), 1)</f>
        <v>1.468849293002956E-3</v>
      </c>
      <c r="K6" s="7">
        <f>$B6 * IFERROR(VLOOKUP("transport|NOx|Asthma symptoms cough", US_national_yearly!$D:$AM, 19, FALSE) / VLOOKUP("transport|NOx|Asthma symptoms cough", US_national_yearly!$D:$AM, 10, FALSE), 1)</f>
        <v>1.4739396495384971E-3</v>
      </c>
      <c r="L6" s="7">
        <f>$B6 * IFERROR(VLOOKUP("transport|NOx|Asthma symptoms cough", US_national_yearly!$D:$AM, 20, FALSE) / VLOOKUP("transport|NOx|Asthma symptoms cough", US_national_yearly!$D:$AM, 10, FALSE), 1)</f>
        <v>1.4790300060740379E-3</v>
      </c>
      <c r="M6" s="7">
        <f>$B6 * IFERROR(VLOOKUP("transport|NOx|Asthma symptoms cough", US_national_yearly!$D:$AM, 21, FALSE) / VLOOKUP("transport|NOx|Asthma symptoms cough", US_national_yearly!$D:$AM, 10, FALSE), 1)</f>
        <v>1.4841203626095791E-3</v>
      </c>
      <c r="N6" s="7">
        <f>$B6 * IFERROR(VLOOKUP("transport|NOx|Asthma symptoms cough", US_national_yearly!$D:$AM, 22, FALSE) / VLOOKUP("transport|NOx|Asthma symptoms cough", US_national_yearly!$D:$AM, 10, FALSE), 1)</f>
        <v>1.4900230100774916E-3</v>
      </c>
      <c r="O6" s="7">
        <f>$B6 * IFERROR(VLOOKUP("transport|NOx|Asthma symptoms cough", US_national_yearly!$D:$AM, 23, FALSE) / VLOOKUP("transport|NOx|Asthma symptoms cough", US_national_yearly!$D:$AM, 10, FALSE), 1)</f>
        <v>1.4959256575454039E-3</v>
      </c>
      <c r="P6" s="7">
        <f>$B6 * IFERROR(VLOOKUP("transport|NOx|Asthma symptoms cough", US_national_yearly!$D:$AM, 24, FALSE) / VLOOKUP("transport|NOx|Asthma symptoms cough", US_national_yearly!$D:$AM, 10, FALSE), 1)</f>
        <v>1.5018283050133162E-3</v>
      </c>
      <c r="Q6" s="7">
        <f>$B6 * IFERROR(VLOOKUP("transport|NOx|Asthma symptoms cough", US_national_yearly!$D:$AM, 25, FALSE) / VLOOKUP("transport|NOx|Asthma symptoms cough", US_national_yearly!$D:$AM, 10, FALSE), 1)</f>
        <v>1.507730952481229E-3</v>
      </c>
      <c r="R6" s="7">
        <f>$B6 * IFERROR(VLOOKUP("transport|NOx|Asthma symptoms cough", US_national_yearly!$D:$AM, 26, FALSE) / VLOOKUP("transport|NOx|Asthma symptoms cough", US_national_yearly!$D:$AM, 10, FALSE), 1)</f>
        <v>1.5136335999491413E-3</v>
      </c>
      <c r="S6" s="7">
        <f>$B6 * IFERROR(VLOOKUP("transport|NOx|Asthma symptoms cough", US_national_yearly!$D:$AM, 27, FALSE) / VLOOKUP("transport|NOx|Asthma symptoms cough", US_national_yearly!$D:$AM, 10, FALSE), 1)</f>
        <v>1.5213443375215229E-3</v>
      </c>
      <c r="T6" s="7">
        <f>$B6 * IFERROR(VLOOKUP("transport|NOx|Asthma symptoms cough", US_national_yearly!$D:$AM, 28, FALSE) / VLOOKUP("transport|NOx|Asthma symptoms cough", US_national_yearly!$D:$AM, 10, FALSE), 1)</f>
        <v>1.5290550750939043E-3</v>
      </c>
      <c r="U6" s="7">
        <f>$B6 * IFERROR(VLOOKUP("transport|NOx|Asthma symptoms cough", US_national_yearly!$D:$AM, 29, FALSE) / VLOOKUP("transport|NOx|Asthma symptoms cough", US_national_yearly!$D:$AM, 10, FALSE), 1)</f>
        <v>1.5367658126662852E-3</v>
      </c>
      <c r="V6" s="7">
        <f>$B6 * IFERROR(VLOOKUP("transport|NOx|Asthma symptoms cough", US_national_yearly!$D:$AM, 30, FALSE) / VLOOKUP("transport|NOx|Asthma symptoms cough", US_national_yearly!$D:$AM, 10, FALSE), 1)</f>
        <v>1.5444765502386668E-3</v>
      </c>
      <c r="W6" s="7">
        <f>$B6 * IFERROR(VLOOKUP("transport|NOx|Asthma symptoms cough", US_national_yearly!$D:$AM, 31, FALSE) / VLOOKUP("transport|NOx|Asthma symptoms cough", US_national_yearly!$D:$AM, 10, FALSE), 1)</f>
        <v>1.5521872878110482E-3</v>
      </c>
      <c r="X6" s="7">
        <f>$B6 * IFERROR(VLOOKUP("transport|NOx|Asthma symptoms cough", US_national_yearly!$D:$AM, 32, FALSE) / VLOOKUP("transport|NOx|Asthma symptoms cough", US_national_yearly!$D:$AM, 10, FALSE), 1)</f>
        <v>1.5593516709373418E-3</v>
      </c>
      <c r="Y6" s="7">
        <f>$B6 * IFERROR(VLOOKUP("transport|NOx|Asthma symptoms cough", US_national_yearly!$D:$AM, 33, FALSE) / VLOOKUP("transport|NOx|Asthma symptoms cough", US_national_yearly!$D:$AM, 10, FALSE), 1)</f>
        <v>1.5665160540636353E-3</v>
      </c>
      <c r="Z6" s="7">
        <f>$B6 * IFERROR(VLOOKUP("transport|NOx|Asthma symptoms cough", US_national_yearly!$D:$AM, 34, FALSE) / VLOOKUP("transport|NOx|Asthma symptoms cough", US_national_yearly!$D:$AM, 10, FALSE), 1)</f>
        <v>1.5736804371899286E-3</v>
      </c>
      <c r="AA6" s="7">
        <f>$B6 * IFERROR(VLOOKUP("transport|NOx|Asthma symptoms cough", US_national_yearly!$D:$AM, 35, FALSE) / VLOOKUP("transport|NOx|Asthma symptoms cough", US_national_yearly!$D:$AM, 10, FALSE), 1)</f>
        <v>1.5808448203162222E-3</v>
      </c>
      <c r="AB6" s="7">
        <f>$B6 * IFERROR(VLOOKUP("transport|NOx|Asthma symptoms cough", US_national_yearly!$D:$AM, 36, FALSE) / VLOOKUP("transport|NOx|Asthma symptoms cough", US_national_yearly!$D:$AM, 10, FALSE), 1)</f>
        <v>1.5880092034425159E-3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1.8246672690691167E-3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1.8496134538306713E-3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1.8745596385922258E-3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1.8995058233537805E-3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1.9244520081153351E-3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1.944368050636326E-3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1.9642840931573167E-3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1.9711389102441217E-3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1.9779937273309268E-3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1.9848485444177318E-3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1.9917033615045364E-3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1.9985581785913415E-3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2.0065068494899115E-3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2.0144555203884811E-3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2.0224041912870507E-3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2.0303528621856207E-3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2.0383015330841902E-3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2.0486850289397431E-3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2.059068524795296E-3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2.0694520206508485E-3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2.0798355165064009E-3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2.0902190123619534E-3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2.0998667719636941E-3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2.1095145315654343E-3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2.119162291167175E-3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2.1288100507689156E-3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2.1384578103706559E-3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2.7878645405468392E-3</v>
      </c>
      <c r="C8" s="7">
        <f>$B8 * IFERROR(VLOOKUP("transport|NOx|Asthma symptoms wheeze", US_national_yearly!$D:$AM, 11, FALSE) / VLOOKUP("transport|NOx|Asthma symptoms wheeze", US_national_yearly!$D:$AM, 10, FALSE), 1)</f>
        <v>2.8259792068467703E-3</v>
      </c>
      <c r="D8" s="7">
        <f>$B8 * IFERROR(VLOOKUP("transport|NOx|Asthma symptoms wheeze", US_national_yearly!$D:$AM, 12, FALSE) / VLOOKUP("transport|NOx|Asthma symptoms wheeze", US_national_yearly!$D:$AM, 10, FALSE), 1)</f>
        <v>2.8640938731467032E-3</v>
      </c>
      <c r="E8" s="7">
        <f>$B8 * IFERROR(VLOOKUP("transport|NOx|Asthma symptoms wheeze", US_national_yearly!$D:$AM, 13, FALSE) / VLOOKUP("transport|NOx|Asthma symptoms wheeze", US_national_yearly!$D:$AM, 10, FALSE), 1)</f>
        <v>2.9022085394466344E-3</v>
      </c>
      <c r="F8" s="7">
        <f>$B8 * IFERROR(VLOOKUP("transport|NOx|Asthma symptoms wheeze", US_national_yearly!$D:$AM, 14, FALSE) / VLOOKUP("transport|NOx|Asthma symptoms wheeze", US_national_yearly!$D:$AM, 10, FALSE), 1)</f>
        <v>2.9403232057465655E-3</v>
      </c>
      <c r="G8" s="7">
        <f>$B8 * IFERROR(VLOOKUP("transport|NOx|Asthma symptoms wheeze", US_national_yearly!$D:$AM, 15, FALSE) / VLOOKUP("transport|NOx|Asthma symptoms wheeze", US_national_yearly!$D:$AM, 10, FALSE), 1)</f>
        <v>2.9707524406449482E-3</v>
      </c>
      <c r="H8" s="7">
        <f>$B8 * IFERROR(VLOOKUP("transport|NOx|Asthma symptoms wheeze", US_national_yearly!$D:$AM, 16, FALSE) / VLOOKUP("transport|NOx|Asthma symptoms wheeze", US_national_yearly!$D:$AM, 10, FALSE), 1)</f>
        <v>3.0011816755433308E-3</v>
      </c>
      <c r="I8" s="7">
        <f>$B8 * IFERROR(VLOOKUP("transport|NOx|Asthma symptoms wheeze", US_national_yearly!$D:$AM, 17, FALSE) / VLOOKUP("transport|NOx|Asthma symptoms wheeze", US_national_yearly!$D:$AM, 10, FALSE), 1)</f>
        <v>3.0116549832252607E-3</v>
      </c>
      <c r="J8" s="7">
        <f>$B8 * IFERROR(VLOOKUP("transport|NOx|Asthma symptoms wheeze", US_national_yearly!$D:$AM, 18, FALSE) / VLOOKUP("transport|NOx|Asthma symptoms wheeze", US_national_yearly!$D:$AM, 10, FALSE), 1)</f>
        <v>3.0221282909071905E-3</v>
      </c>
      <c r="K8" s="7">
        <f>$B8 * IFERROR(VLOOKUP("transport|NOx|Asthma symptoms wheeze", US_national_yearly!$D:$AM, 19, FALSE) / VLOOKUP("transport|NOx|Asthma symptoms wheeze", US_national_yearly!$D:$AM, 10, FALSE), 1)</f>
        <v>3.0326015985891195E-3</v>
      </c>
      <c r="L8" s="7">
        <f>$B8 * IFERROR(VLOOKUP("transport|NOx|Asthma symptoms wheeze", US_national_yearly!$D:$AM, 20, FALSE) / VLOOKUP("transport|NOx|Asthma symptoms wheeze", US_national_yearly!$D:$AM, 10, FALSE), 1)</f>
        <v>3.0430749062710497E-3</v>
      </c>
      <c r="M8" s="7">
        <f>$B8 * IFERROR(VLOOKUP("transport|NOx|Asthma symptoms wheeze", US_national_yearly!$D:$AM, 21, FALSE) / VLOOKUP("transport|NOx|Asthma symptoms wheeze", US_national_yearly!$D:$AM, 10, FALSE), 1)</f>
        <v>3.0535482139529791E-3</v>
      </c>
      <c r="N8" s="7">
        <f>$B8 * IFERROR(VLOOKUP("transport|NOx|Asthma symptoms wheeze", US_national_yearly!$D:$AM, 22, FALSE) / VLOOKUP("transport|NOx|Asthma symptoms wheeze", US_national_yearly!$D:$AM, 10, FALSE), 1)</f>
        <v>3.0656927941336491E-3</v>
      </c>
      <c r="O8" s="7">
        <f>$B8 * IFERROR(VLOOKUP("transport|NOx|Asthma symptoms wheeze", US_national_yearly!$D:$AM, 23, FALSE) / VLOOKUP("transport|NOx|Asthma symptoms wheeze", US_national_yearly!$D:$AM, 10, FALSE), 1)</f>
        <v>3.0778373743143195E-3</v>
      </c>
      <c r="P8" s="7">
        <f>$B8 * IFERROR(VLOOKUP("transport|NOx|Asthma symptoms wheeze", US_national_yearly!$D:$AM, 24, FALSE) / VLOOKUP("transport|NOx|Asthma symptoms wheeze", US_national_yearly!$D:$AM, 10, FALSE), 1)</f>
        <v>3.0899819544949894E-3</v>
      </c>
      <c r="Q8" s="7">
        <f>$B8 * IFERROR(VLOOKUP("transport|NOx|Asthma symptoms wheeze", US_national_yearly!$D:$AM, 25, FALSE) / VLOOKUP("transport|NOx|Asthma symptoms wheeze", US_national_yearly!$D:$AM, 10, FALSE), 1)</f>
        <v>3.1021265346756603E-3</v>
      </c>
      <c r="R8" s="7">
        <f>$B8 * IFERROR(VLOOKUP("transport|NOx|Asthma symptoms wheeze", US_national_yearly!$D:$AM, 26, FALSE) / VLOOKUP("transport|NOx|Asthma symptoms wheeze", US_national_yearly!$D:$AM, 10, FALSE), 1)</f>
        <v>3.1142711148563298E-3</v>
      </c>
      <c r="S8" s="7">
        <f>$B8 * IFERROR(VLOOKUP("transport|NOx|Asthma symptoms wheeze", US_national_yearly!$D:$AM, 27, FALSE) / VLOOKUP("transport|NOx|Asthma symptoms wheeze", US_national_yearly!$D:$AM, 10, FALSE), 1)</f>
        <v>3.1301358045830127E-3</v>
      </c>
      <c r="T8" s="7">
        <f>$B8 * IFERROR(VLOOKUP("transport|NOx|Asthma symptoms wheeze", US_national_yearly!$D:$AM, 28, FALSE) / VLOOKUP("transport|NOx|Asthma symptoms wheeze", US_national_yearly!$D:$AM, 10, FALSE), 1)</f>
        <v>3.1460004943096955E-3</v>
      </c>
      <c r="U8" s="7">
        <f>$B8 * IFERROR(VLOOKUP("transport|NOx|Asthma symptoms wheeze", US_national_yearly!$D:$AM, 29, FALSE) / VLOOKUP("transport|NOx|Asthma symptoms wheeze", US_national_yearly!$D:$AM, 10, FALSE), 1)</f>
        <v>3.1618651840363784E-3</v>
      </c>
      <c r="V8" s="7">
        <f>$B8 * IFERROR(VLOOKUP("transport|NOx|Asthma symptoms wheeze", US_national_yearly!$D:$AM, 30, FALSE) / VLOOKUP("transport|NOx|Asthma symptoms wheeze", US_national_yearly!$D:$AM, 10, FALSE), 1)</f>
        <v>3.1777298737630617E-3</v>
      </c>
      <c r="W8" s="7">
        <f>$B8 * IFERROR(VLOOKUP("transport|NOx|Asthma symptoms wheeze", US_national_yearly!$D:$AM, 31, FALSE) / VLOOKUP("transport|NOx|Asthma symptoms wheeze", US_national_yearly!$D:$AM, 10, FALSE), 1)</f>
        <v>3.1935945634897437E-3</v>
      </c>
      <c r="X8" s="7">
        <f>$B8 * IFERROR(VLOOKUP("transport|NOx|Asthma symptoms wheeze", US_national_yearly!$D:$AM, 32, FALSE) / VLOOKUP("transport|NOx|Asthma symptoms wheeze", US_national_yearly!$D:$AM, 10, FALSE), 1)</f>
        <v>3.2083351397674564E-3</v>
      </c>
      <c r="Y8" s="7">
        <f>$B8 * IFERROR(VLOOKUP("transport|NOx|Asthma symptoms wheeze", US_national_yearly!$D:$AM, 33, FALSE) / VLOOKUP("transport|NOx|Asthma symptoms wheeze", US_national_yearly!$D:$AM, 10, FALSE), 1)</f>
        <v>3.2230757160451682E-3</v>
      </c>
      <c r="Z8" s="7">
        <f>$B8 * IFERROR(VLOOKUP("transport|NOx|Asthma symptoms wheeze", US_national_yearly!$D:$AM, 34, FALSE) / VLOOKUP("transport|NOx|Asthma symptoms wheeze", US_national_yearly!$D:$AM, 10, FALSE), 1)</f>
        <v>3.2378162923228809E-3</v>
      </c>
      <c r="AA8" s="7">
        <f>$B8 * IFERROR(VLOOKUP("transport|NOx|Asthma symptoms wheeze", US_national_yearly!$D:$AM, 35, FALSE) / VLOOKUP("transport|NOx|Asthma symptoms wheeze", US_national_yearly!$D:$AM, 10, FALSE), 1)</f>
        <v>3.2525568686005927E-3</v>
      </c>
      <c r="AB8" s="7">
        <f>$B8 * IFERROR(VLOOKUP("transport|NOx|Asthma symptoms wheeze", US_national_yearly!$D:$AM, 36, FALSE) / VLOOKUP("transport|NOx|Asthma symptoms wheeze", US_national_yearly!$D:$AM, 10, FALSE), 1)</f>
        <v>3.2672974448783049E-3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4.4206316906618545E-5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4.5309028659590688E-5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4.6411740412562838E-5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4.7514452165534987E-5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4.8617163918507137E-5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4.9671393886188964E-5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5.0725623853870797E-5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5.1620686769207499E-5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5.2515749684544201E-5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5.3410812599880903E-5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5.4305875515217612E-5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5.5200938430554321E-5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5.5799304104670284E-5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5.6397669778786275E-5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5.6996035452902252E-5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5.7594401127018237E-5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5.8192766801134214E-5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5.8513354915493893E-5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5.8833943029853565E-5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5.9154531144213237E-5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5.9475119258572902E-5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5.9795707372932588E-5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6.0014787699416481E-5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6.0233868025900382E-5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6.045294835238429E-5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6.0672028678868191E-5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6.0891109005352085E-5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2.6400599674849856E-4</v>
      </c>
      <c r="C13" s="7">
        <f>$B13 * IFERROR(VLOOKUP("transport|NOx|Non-fatal heart attacks", US_national_yearly!$D:$AM, 11, FALSE) / VLOOKUP("transport|NOx|Non-fatal heart attacks", US_national_yearly!$D:$AM, 10, FALSE), 1)</f>
        <v>2.7155369559141434E-4</v>
      </c>
      <c r="D13" s="7">
        <f>$B13 * IFERROR(VLOOKUP("transport|NOx|Non-fatal heart attacks", US_national_yearly!$D:$AM, 12, FALSE) / VLOOKUP("transport|NOx|Non-fatal heart attacks", US_national_yearly!$D:$AM, 10, FALSE), 1)</f>
        <v>2.7910139443433006E-4</v>
      </c>
      <c r="E13" s="7">
        <f>$B13 * IFERROR(VLOOKUP("transport|NOx|Non-fatal heart attacks", US_national_yearly!$D:$AM, 13, FALSE) / VLOOKUP("transport|NOx|Non-fatal heart attacks", US_national_yearly!$D:$AM, 10, FALSE), 1)</f>
        <v>2.8664909327724578E-4</v>
      </c>
      <c r="F13" s="7">
        <f>$B13 * IFERROR(VLOOKUP("transport|NOx|Non-fatal heart attacks", US_national_yearly!$D:$AM, 14, FALSE) / VLOOKUP("transport|NOx|Non-fatal heart attacks", US_national_yearly!$D:$AM, 10, FALSE), 1)</f>
        <v>2.9419679212016155E-4</v>
      </c>
      <c r="G13" s="7">
        <f>$B13 * IFERROR(VLOOKUP("transport|NOx|Non-fatal heart attacks", US_national_yearly!$D:$AM, 15, FALSE) / VLOOKUP("transport|NOx|Non-fatal heart attacks", US_national_yearly!$D:$AM, 10, FALSE), 1)</f>
        <v>3.0125010100212819E-4</v>
      </c>
      <c r="H13" s="7">
        <f>$B13 * IFERROR(VLOOKUP("transport|NOx|Non-fatal heart attacks", US_national_yearly!$D:$AM, 16, FALSE) / VLOOKUP("transport|NOx|Non-fatal heart attacks", US_national_yearly!$D:$AM, 10, FALSE), 1)</f>
        <v>3.0830340988409482E-4</v>
      </c>
      <c r="I13" s="7">
        <f>$B13 * IFERROR(VLOOKUP("transport|NOx|Non-fatal heart attacks", US_national_yearly!$D:$AM, 17, FALSE) / VLOOKUP("transport|NOx|Non-fatal heart attacks", US_national_yearly!$D:$AM, 10, FALSE), 1)</f>
        <v>3.1386413766733653E-4</v>
      </c>
      <c r="J13" s="7">
        <f>$B13 * IFERROR(VLOOKUP("transport|NOx|Non-fatal heart attacks", US_national_yearly!$D:$AM, 18, FALSE) / VLOOKUP("transport|NOx|Non-fatal heart attacks", US_national_yearly!$D:$AM, 10, FALSE), 1)</f>
        <v>3.1942486545057835E-4</v>
      </c>
      <c r="K13" s="7">
        <f>$B13 * IFERROR(VLOOKUP("transport|NOx|Non-fatal heart attacks", US_national_yearly!$D:$AM, 19, FALSE) / VLOOKUP("transport|NOx|Non-fatal heart attacks", US_national_yearly!$D:$AM, 10, FALSE), 1)</f>
        <v>3.2498559323381989E-4</v>
      </c>
      <c r="L13" s="7">
        <f>$B13 * IFERROR(VLOOKUP("transport|NOx|Non-fatal heart attacks", US_national_yearly!$D:$AM, 20, FALSE) / VLOOKUP("transport|NOx|Non-fatal heart attacks", US_national_yearly!$D:$AM, 10, FALSE), 1)</f>
        <v>3.3054632101706187E-4</v>
      </c>
      <c r="M13" s="7">
        <f>$B13 * IFERROR(VLOOKUP("transport|NOx|Non-fatal heart attacks", US_national_yearly!$D:$AM, 21, FALSE) / VLOOKUP("transport|NOx|Non-fatal heart attacks", US_national_yearly!$D:$AM, 10, FALSE), 1)</f>
        <v>3.3610704880030352E-4</v>
      </c>
      <c r="N13" s="7">
        <f>$B13 * IFERROR(VLOOKUP("transport|NOx|Non-fatal heart attacks", US_national_yearly!$D:$AM, 22, FALSE) / VLOOKUP("transport|NOx|Non-fatal heart attacks", US_national_yearly!$D:$AM, 10, FALSE), 1)</f>
        <v>3.3945255127254515E-4</v>
      </c>
      <c r="O13" s="7">
        <f>$B13 * IFERROR(VLOOKUP("transport|NOx|Non-fatal heart attacks", US_national_yearly!$D:$AM, 23, FALSE) / VLOOKUP("transport|NOx|Non-fatal heart attacks", US_national_yearly!$D:$AM, 10, FALSE), 1)</f>
        <v>3.4279805374478679E-4</v>
      </c>
      <c r="P13" s="7">
        <f>$B13 * IFERROR(VLOOKUP("transport|NOx|Non-fatal heart attacks", US_national_yearly!$D:$AM, 24, FALSE) / VLOOKUP("transport|NOx|Non-fatal heart attacks", US_national_yearly!$D:$AM, 10, FALSE), 1)</f>
        <v>3.4614355621702836E-4</v>
      </c>
      <c r="Q13" s="7">
        <f>$B13 * IFERROR(VLOOKUP("transport|NOx|Non-fatal heart attacks", US_national_yearly!$D:$AM, 25, FALSE) / VLOOKUP("transport|NOx|Non-fatal heart attacks", US_national_yearly!$D:$AM, 10, FALSE), 1)</f>
        <v>3.4948905868927005E-4</v>
      </c>
      <c r="R13" s="7">
        <f>$B13 * IFERROR(VLOOKUP("transport|NOx|Non-fatal heart attacks", US_national_yearly!$D:$AM, 26, FALSE) / VLOOKUP("transport|NOx|Non-fatal heart attacks", US_national_yearly!$D:$AM, 10, FALSE), 1)</f>
        <v>3.5283456116151168E-4</v>
      </c>
      <c r="S13" s="7">
        <f>$B13 * IFERROR(VLOOKUP("transport|NOx|Non-fatal heart attacks", US_national_yearly!$D:$AM, 27, FALSE) / VLOOKUP("transport|NOx|Non-fatal heart attacks", US_national_yearly!$D:$AM, 10, FALSE), 1)</f>
        <v>3.5435210422166011E-4</v>
      </c>
      <c r="T13" s="7">
        <f>$B13 * IFERROR(VLOOKUP("transport|NOx|Non-fatal heart attacks", US_national_yearly!$D:$AM, 28, FALSE) / VLOOKUP("transport|NOx|Non-fatal heart attacks", US_national_yearly!$D:$AM, 10, FALSE), 1)</f>
        <v>3.5586964728180859E-4</v>
      </c>
      <c r="U13" s="7">
        <f>$B13 * IFERROR(VLOOKUP("transport|NOx|Non-fatal heart attacks", US_national_yearly!$D:$AM, 29, FALSE) / VLOOKUP("transport|NOx|Non-fatal heart attacks", US_national_yearly!$D:$AM, 10, FALSE), 1)</f>
        <v>3.5738719034195707E-4</v>
      </c>
      <c r="V13" s="7">
        <f>$B13 * IFERROR(VLOOKUP("transport|NOx|Non-fatal heart attacks", US_national_yearly!$D:$AM, 30, FALSE) / VLOOKUP("transport|NOx|Non-fatal heart attacks", US_national_yearly!$D:$AM, 10, FALSE), 1)</f>
        <v>3.5890473340210554E-4</v>
      </c>
      <c r="W13" s="7">
        <f>$B13 * IFERROR(VLOOKUP("transport|NOx|Non-fatal heart attacks", US_national_yearly!$D:$AM, 31, FALSE) / VLOOKUP("transport|NOx|Non-fatal heart attacks", US_national_yearly!$D:$AM, 10, FALSE), 1)</f>
        <v>3.6042227646225402E-4</v>
      </c>
      <c r="X13" s="7">
        <f>$B13 * IFERROR(VLOOKUP("transport|NOx|Non-fatal heart attacks", US_national_yearly!$D:$AM, 32, FALSE) / VLOOKUP("transport|NOx|Non-fatal heart attacks", US_national_yearly!$D:$AM, 10, FALSE), 1)</f>
        <v>3.6143637858544541E-4</v>
      </c>
      <c r="Y13" s="7">
        <f>$B13 * IFERROR(VLOOKUP("transport|NOx|Non-fatal heart attacks", US_national_yearly!$D:$AM, 33, FALSE) / VLOOKUP("transport|NOx|Non-fatal heart attacks", US_national_yearly!$D:$AM, 10, FALSE), 1)</f>
        <v>3.6245048070863685E-4</v>
      </c>
      <c r="Z13" s="7">
        <f>$B13 * IFERROR(VLOOKUP("transport|NOx|Non-fatal heart attacks", US_national_yearly!$D:$AM, 34, FALSE) / VLOOKUP("transport|NOx|Non-fatal heart attacks", US_national_yearly!$D:$AM, 10, FALSE), 1)</f>
        <v>3.6346458283182818E-4</v>
      </c>
      <c r="AA13" s="7">
        <f>$B13 * IFERROR(VLOOKUP("transport|NOx|Non-fatal heart attacks", US_national_yearly!$D:$AM, 35, FALSE) / VLOOKUP("transport|NOx|Non-fatal heart attacks", US_national_yearly!$D:$AM, 10, FALSE), 1)</f>
        <v>3.6447868495501957E-4</v>
      </c>
      <c r="AB13" s="7">
        <f>$B13 * IFERROR(VLOOKUP("transport|NOx|Non-fatal heart attacks", US_national_yearly!$D:$AM, 36, FALSE) / VLOOKUP("transport|NOx|Non-fatal heart attacks", US_national_yearly!$D:$AM, 10, FALSE), 1)</f>
        <v>3.6549278707821101E-4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0.17454824896353932</v>
      </c>
      <c r="C14" s="7">
        <f>$B14 * IFERROR(VLOOKUP("transport|NOx|Minor restricted activity days", US_national_yearly!$D:$AM, 11, FALSE) / VLOOKUP("transport|NOx|Minor restricted activity days", US_national_yearly!$D:$AM, 10, FALSE), 1)</f>
        <v>0.17481586072164709</v>
      </c>
      <c r="D14" s="7">
        <f>$B14 * IFERROR(VLOOKUP("transport|NOx|Minor restricted activity days", US_national_yearly!$D:$AM, 12, FALSE) / VLOOKUP("transport|NOx|Minor restricted activity days", US_national_yearly!$D:$AM, 10, FALSE), 1)</f>
        <v>0.17508347247975492</v>
      </c>
      <c r="E14" s="7">
        <f>$B14 * IFERROR(VLOOKUP("transport|NOx|Minor restricted activity days", US_national_yearly!$D:$AM, 13, FALSE) / VLOOKUP("transport|NOx|Minor restricted activity days", US_national_yearly!$D:$AM, 10, FALSE), 1)</f>
        <v>0.17535108423786272</v>
      </c>
      <c r="F14" s="7">
        <f>$B14 * IFERROR(VLOOKUP("transport|NOx|Minor restricted activity days", US_national_yearly!$D:$AM, 14, FALSE) / VLOOKUP("transport|NOx|Minor restricted activity days", US_national_yearly!$D:$AM, 10, FALSE), 1)</f>
        <v>0.17561869599597052</v>
      </c>
      <c r="G14" s="7">
        <f>$B14 * IFERROR(VLOOKUP("transport|NOx|Minor restricted activity days", US_national_yearly!$D:$AM, 15, FALSE) / VLOOKUP("transport|NOx|Minor restricted activity days", US_national_yearly!$D:$AM, 10, FALSE), 1)</f>
        <v>0.17610193913404135</v>
      </c>
      <c r="H14" s="7">
        <f>$B14 * IFERROR(VLOOKUP("transport|NOx|Minor restricted activity days", US_national_yearly!$D:$AM, 16, FALSE) / VLOOKUP("transport|NOx|Minor restricted activity days", US_national_yearly!$D:$AM, 10, FALSE), 1)</f>
        <v>0.17658518227211215</v>
      </c>
      <c r="I14" s="7">
        <f>$B14 * IFERROR(VLOOKUP("transport|NOx|Minor restricted activity days", US_national_yearly!$D:$AM, 17, FALSE) / VLOOKUP("transport|NOx|Minor restricted activity days", US_national_yearly!$D:$AM, 10, FALSE), 1)</f>
        <v>0.17753038674076768</v>
      </c>
      <c r="J14" s="7">
        <f>$B14 * IFERROR(VLOOKUP("transport|NOx|Minor restricted activity days", US_national_yearly!$D:$AM, 18, FALSE) / VLOOKUP("transport|NOx|Minor restricted activity days", US_national_yearly!$D:$AM, 10, FALSE), 1)</f>
        <v>0.17847559120942316</v>
      </c>
      <c r="K14" s="7">
        <f>$B14 * IFERROR(VLOOKUP("transport|NOx|Minor restricted activity days", US_national_yearly!$D:$AM, 19, FALSE) / VLOOKUP("transport|NOx|Minor restricted activity days", US_national_yearly!$D:$AM, 10, FALSE), 1)</f>
        <v>0.1794207956780787</v>
      </c>
      <c r="L14" s="7">
        <f>$B14 * IFERROR(VLOOKUP("transport|NOx|Minor restricted activity days", US_national_yearly!$D:$AM, 20, FALSE) / VLOOKUP("transport|NOx|Minor restricted activity days", US_national_yearly!$D:$AM, 10, FALSE), 1)</f>
        <v>0.18036600014673418</v>
      </c>
      <c r="M14" s="7">
        <f>$B14 * IFERROR(VLOOKUP("transport|NOx|Minor restricted activity days", US_national_yearly!$D:$AM, 21, FALSE) / VLOOKUP("transport|NOx|Minor restricted activity days", US_national_yearly!$D:$AM, 10, FALSE), 1)</f>
        <v>0.18131120461538972</v>
      </c>
      <c r="N14" s="7">
        <f>$B14 * IFERROR(VLOOKUP("transport|NOx|Minor restricted activity days", US_national_yearly!$D:$AM, 22, FALSE) / VLOOKUP("transport|NOx|Minor restricted activity days", US_national_yearly!$D:$AM, 10, FALSE), 1)</f>
        <v>0.18266452309403319</v>
      </c>
      <c r="O14" s="7">
        <f>$B14 * IFERROR(VLOOKUP("transport|NOx|Minor restricted activity days", US_national_yearly!$D:$AM, 23, FALSE) / VLOOKUP("transport|NOx|Minor restricted activity days", US_national_yearly!$D:$AM, 10, FALSE), 1)</f>
        <v>0.1840178415726767</v>
      </c>
      <c r="P14" s="7">
        <f>$B14 * IFERROR(VLOOKUP("transport|NOx|Minor restricted activity days", US_national_yearly!$D:$AM, 24, FALSE) / VLOOKUP("transport|NOx|Minor restricted activity days", US_national_yearly!$D:$AM, 10, FALSE), 1)</f>
        <v>0.18537116005132018</v>
      </c>
      <c r="Q14" s="7">
        <f>$B14 * IFERROR(VLOOKUP("transport|NOx|Minor restricted activity days", US_national_yearly!$D:$AM, 25, FALSE) / VLOOKUP("transport|NOx|Minor restricted activity days", US_national_yearly!$D:$AM, 10, FALSE), 1)</f>
        <v>0.18672447852996368</v>
      </c>
      <c r="R14" s="7">
        <f>$B14 * IFERROR(VLOOKUP("transport|NOx|Minor restricted activity days", US_national_yearly!$D:$AM, 26, FALSE) / VLOOKUP("transport|NOx|Minor restricted activity days", US_national_yearly!$D:$AM, 10, FALSE), 1)</f>
        <v>0.18807779700860716</v>
      </c>
      <c r="S14" s="7">
        <f>$B14 * IFERROR(VLOOKUP("transport|NOx|Minor restricted activity days", US_national_yearly!$D:$AM, 27, FALSE) / VLOOKUP("transport|NOx|Minor restricted activity days", US_national_yearly!$D:$AM, 10, FALSE), 1)</f>
        <v>0.1894308309549371</v>
      </c>
      <c r="T14" s="7">
        <f>$B14 * IFERROR(VLOOKUP("transport|NOx|Minor restricted activity days", US_national_yearly!$D:$AM, 28, FALSE) / VLOOKUP("transport|NOx|Minor restricted activity days", US_national_yearly!$D:$AM, 10, FALSE), 1)</f>
        <v>0.19078386490126698</v>
      </c>
      <c r="U14" s="7">
        <f>$B14 * IFERROR(VLOOKUP("transport|NOx|Minor restricted activity days", US_national_yearly!$D:$AM, 29, FALSE) / VLOOKUP("transport|NOx|Minor restricted activity days", US_national_yearly!$D:$AM, 10, FALSE), 1)</f>
        <v>0.19213689884759691</v>
      </c>
      <c r="V14" s="7">
        <f>$B14 * IFERROR(VLOOKUP("transport|NOx|Minor restricted activity days", US_national_yearly!$D:$AM, 30, FALSE) / VLOOKUP("transport|NOx|Minor restricted activity days", US_national_yearly!$D:$AM, 10, FALSE), 1)</f>
        <v>0.19348993279392682</v>
      </c>
      <c r="W14" s="7">
        <f>$B14 * IFERROR(VLOOKUP("transport|NOx|Minor restricted activity days", US_national_yearly!$D:$AM, 31, FALSE) / VLOOKUP("transport|NOx|Minor restricted activity days", US_national_yearly!$D:$AM, 10, FALSE), 1)</f>
        <v>0.19484296674025672</v>
      </c>
      <c r="X14" s="7">
        <f>$B14 * IFERROR(VLOOKUP("transport|NOx|Minor restricted activity days", US_national_yearly!$D:$AM, 32, FALSE) / VLOOKUP("transport|NOx|Minor restricted activity days", US_national_yearly!$D:$AM, 10, FALSE), 1)</f>
        <v>0.19598690539692762</v>
      </c>
      <c r="Y14" s="7">
        <f>$B14 * IFERROR(VLOOKUP("transport|NOx|Minor restricted activity days", US_national_yearly!$D:$AM, 33, FALSE) / VLOOKUP("transport|NOx|Minor restricted activity days", US_national_yearly!$D:$AM, 10, FALSE), 1)</f>
        <v>0.19713084405359854</v>
      </c>
      <c r="Z14" s="7">
        <f>$B14 * IFERROR(VLOOKUP("transport|NOx|Minor restricted activity days", US_national_yearly!$D:$AM, 34, FALSE) / VLOOKUP("transport|NOx|Minor restricted activity days", US_national_yearly!$D:$AM, 10, FALSE), 1)</f>
        <v>0.19827478271026946</v>
      </c>
      <c r="AA14" s="7">
        <f>$B14 * IFERROR(VLOOKUP("transport|NOx|Minor restricted activity days", US_national_yearly!$D:$AM, 35, FALSE) / VLOOKUP("transport|NOx|Minor restricted activity days", US_national_yearly!$D:$AM, 10, FALSE), 1)</f>
        <v>0.19941872136694039</v>
      </c>
      <c r="AB14" s="7">
        <f>$B14 * IFERROR(VLOOKUP("transport|NOx|Minor restricted activity days", US_national_yearly!$D:$AM, 36, FALSE) / VLOOKUP("transport|NOx|Minor restricted activity days", US_national_yearly!$D:$AM, 10, FALSE), 1)</f>
        <v>0.20056266002361128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2.9550511971764899E-2</v>
      </c>
      <c r="C15" s="7">
        <f>$B15 * IFERROR(VLOOKUP("transport|NOx|Work loss days", US_national_yearly!$D:$AM, 11, FALSE) / VLOOKUP("transport|NOx|Work loss days", US_national_yearly!$D:$AM, 10, FALSE), 1)</f>
        <v>2.9616245495928967E-2</v>
      </c>
      <c r="D15" s="7">
        <f>$B15 * IFERROR(VLOOKUP("transport|NOx|Work loss days", US_national_yearly!$D:$AM, 12, FALSE) / VLOOKUP("transport|NOx|Work loss days", US_national_yearly!$D:$AM, 10, FALSE), 1)</f>
        <v>2.9681979020093039E-2</v>
      </c>
      <c r="E15" s="7">
        <f>$B15 * IFERROR(VLOOKUP("transport|NOx|Work loss days", US_national_yearly!$D:$AM, 13, FALSE) / VLOOKUP("transport|NOx|Work loss days", US_national_yearly!$D:$AM, 10, FALSE), 1)</f>
        <v>2.9747712544257104E-2</v>
      </c>
      <c r="F15" s="7">
        <f>$B15 * IFERROR(VLOOKUP("transport|NOx|Work loss days", US_national_yearly!$D:$AM, 14, FALSE) / VLOOKUP("transport|NOx|Work loss days", US_national_yearly!$D:$AM, 10, FALSE), 1)</f>
        <v>2.9813446068421179E-2</v>
      </c>
      <c r="G15" s="7">
        <f>$B15 * IFERROR(VLOOKUP("transport|NOx|Work loss days", US_national_yearly!$D:$AM, 15, FALSE) / VLOOKUP("transport|NOx|Work loss days", US_national_yearly!$D:$AM, 10, FALSE), 1)</f>
        <v>2.9909417574436867E-2</v>
      </c>
      <c r="H15" s="7">
        <f>$B15 * IFERROR(VLOOKUP("transport|NOx|Work loss days", US_national_yearly!$D:$AM, 16, FALSE) / VLOOKUP("transport|NOx|Work loss days", US_national_yearly!$D:$AM, 10, FALSE), 1)</f>
        <v>3.0005389080452558E-2</v>
      </c>
      <c r="I15" s="7">
        <f>$B15 * IFERROR(VLOOKUP("transport|NOx|Work loss days", US_national_yearly!$D:$AM, 17, FALSE) / VLOOKUP("transport|NOx|Work loss days", US_national_yearly!$D:$AM, 10, FALSE), 1)</f>
        <v>3.0160857718905438E-2</v>
      </c>
      <c r="J15" s="7">
        <f>$B15 * IFERROR(VLOOKUP("transport|NOx|Work loss days", US_national_yearly!$D:$AM, 18, FALSE) / VLOOKUP("transport|NOx|Work loss days", US_national_yearly!$D:$AM, 10, FALSE), 1)</f>
        <v>3.0316326357358321E-2</v>
      </c>
      <c r="K15" s="7">
        <f>$B15 * IFERROR(VLOOKUP("transport|NOx|Work loss days", US_national_yearly!$D:$AM, 19, FALSE) / VLOOKUP("transport|NOx|Work loss days", US_national_yearly!$D:$AM, 10, FALSE), 1)</f>
        <v>3.0471794995811197E-2</v>
      </c>
      <c r="L15" s="7">
        <f>$B15 * IFERROR(VLOOKUP("transport|NOx|Work loss days", US_national_yearly!$D:$AM, 20, FALSE) / VLOOKUP("transport|NOx|Work loss days", US_national_yearly!$D:$AM, 10, FALSE), 1)</f>
        <v>3.0627263634264074E-2</v>
      </c>
      <c r="M15" s="7">
        <f>$B15 * IFERROR(VLOOKUP("transport|NOx|Work loss days", US_national_yearly!$D:$AM, 21, FALSE) / VLOOKUP("transport|NOx|Work loss days", US_national_yearly!$D:$AM, 10, FALSE), 1)</f>
        <v>3.078273227271696E-2</v>
      </c>
      <c r="N15" s="7">
        <f>$B15 * IFERROR(VLOOKUP("transport|NOx|Work loss days", US_national_yearly!$D:$AM, 22, FALSE) / VLOOKUP("transport|NOx|Work loss days", US_national_yearly!$D:$AM, 10, FALSE), 1)</f>
        <v>3.0985065165682786E-2</v>
      </c>
      <c r="O15" s="7">
        <f>$B15 * IFERROR(VLOOKUP("transport|NOx|Work loss days", US_national_yearly!$D:$AM, 23, FALSE) / VLOOKUP("transport|NOx|Work loss days", US_national_yearly!$D:$AM, 10, FALSE), 1)</f>
        <v>3.1187398058648612E-2</v>
      </c>
      <c r="P15" s="7">
        <f>$B15 * IFERROR(VLOOKUP("transport|NOx|Work loss days", US_national_yearly!$D:$AM, 24, FALSE) / VLOOKUP("transport|NOx|Work loss days", US_national_yearly!$D:$AM, 10, FALSE), 1)</f>
        <v>3.1389730951614438E-2</v>
      </c>
      <c r="Q15" s="7">
        <f>$B15 * IFERROR(VLOOKUP("transport|NOx|Work loss days", US_national_yearly!$D:$AM, 25, FALSE) / VLOOKUP("transport|NOx|Work loss days", US_national_yearly!$D:$AM, 10, FALSE), 1)</f>
        <v>3.1592063844580257E-2</v>
      </c>
      <c r="R15" s="7">
        <f>$B15 * IFERROR(VLOOKUP("transport|NOx|Work loss days", US_national_yearly!$D:$AM, 26, FALSE) / VLOOKUP("transport|NOx|Work loss days", US_national_yearly!$D:$AM, 10, FALSE), 1)</f>
        <v>3.1794396737546089E-2</v>
      </c>
      <c r="S15" s="7">
        <f>$B15 * IFERROR(VLOOKUP("transport|NOx|Work loss days", US_national_yearly!$D:$AM, 27, FALSE) / VLOOKUP("transport|NOx|Work loss days", US_national_yearly!$D:$AM, 10, FALSE), 1)</f>
        <v>3.2019972042513681E-2</v>
      </c>
      <c r="T15" s="7">
        <f>$B15 * IFERROR(VLOOKUP("transport|NOx|Work loss days", US_national_yearly!$D:$AM, 28, FALSE) / VLOOKUP("transport|NOx|Work loss days", US_national_yearly!$D:$AM, 10, FALSE), 1)</f>
        <v>3.2245547347481265E-2</v>
      </c>
      <c r="U15" s="7">
        <f>$B15 * IFERROR(VLOOKUP("transport|NOx|Work loss days", US_national_yearly!$D:$AM, 29, FALSE) / VLOOKUP("transport|NOx|Work loss days", US_national_yearly!$D:$AM, 10, FALSE), 1)</f>
        <v>3.247112265244885E-2</v>
      </c>
      <c r="V15" s="7">
        <f>$B15 * IFERROR(VLOOKUP("transport|NOx|Work loss days", US_national_yearly!$D:$AM, 30, FALSE) / VLOOKUP("transport|NOx|Work loss days", US_national_yearly!$D:$AM, 10, FALSE), 1)</f>
        <v>3.2696697957416435E-2</v>
      </c>
      <c r="W15" s="7">
        <f>$B15 * IFERROR(VLOOKUP("transport|NOx|Work loss days", US_national_yearly!$D:$AM, 31, FALSE) / VLOOKUP("transport|NOx|Work loss days", US_national_yearly!$D:$AM, 10, FALSE), 1)</f>
        <v>3.2922273262384026E-2</v>
      </c>
      <c r="X15" s="7">
        <f>$B15 * IFERROR(VLOOKUP("transport|NOx|Work loss days", US_national_yearly!$D:$AM, 32, FALSE) / VLOOKUP("transport|NOx|Work loss days", US_national_yearly!$D:$AM, 10, FALSE), 1)</f>
        <v>3.3118060600155874E-2</v>
      </c>
      <c r="Y15" s="7">
        <f>$B15 * IFERROR(VLOOKUP("transport|NOx|Work loss days", US_national_yearly!$D:$AM, 33, FALSE) / VLOOKUP("transport|NOx|Work loss days", US_national_yearly!$D:$AM, 10, FALSE), 1)</f>
        <v>3.3313847937927722E-2</v>
      </c>
      <c r="Z15" s="7">
        <f>$B15 * IFERROR(VLOOKUP("transport|NOx|Work loss days", US_national_yearly!$D:$AM, 34, FALSE) / VLOOKUP("transport|NOx|Work loss days", US_national_yearly!$D:$AM, 10, FALSE), 1)</f>
        <v>3.350963527569957E-2</v>
      </c>
      <c r="AA15" s="7">
        <f>$B15 * IFERROR(VLOOKUP("transport|NOx|Work loss days", US_national_yearly!$D:$AM, 35, FALSE) / VLOOKUP("transport|NOx|Work loss days", US_national_yearly!$D:$AM, 10, FALSE), 1)</f>
        <v>3.3705422613471425E-2</v>
      </c>
      <c r="AB15" s="7">
        <f>$B15 * IFERROR(VLOOKUP("transport|NOx|Work loss days", US_national_yearly!$D:$AM, 36, FALSE) / VLOOKUP("transport|NOx|Work loss days", US_national_yearly!$D:$AM, 10, FALSE), 1)</f>
        <v>3.3901209951243273E-2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6.811775137526245E-5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7.0119366412781285E-5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7.2120981450300107E-5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7.4122596487818942E-5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7.6124211525337778E-5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7.8025414794697463E-5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7.9926618064057176E-5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8.1525383344034945E-5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8.3124148624012713E-5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8.4722913903990482E-5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8.6321679183968251E-5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8.7920444463946034E-5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8.8920205368261265E-5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8.991996627257651E-5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9.0919727176891742E-5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9.1919488081206987E-5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9.2919248985522218E-5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9.3375412432246239E-5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9.3831575878970273E-5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9.428773932569428E-5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9.4743902772418314E-5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9.5200066219142335E-5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9.5453936992255265E-5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9.5707807765368181E-5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9.5961678538481111E-5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9.6215549311594027E-5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9.6469420084706957E-5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2.0750566969030431E-3</v>
      </c>
      <c r="C2" s="7">
        <f>$B2 * IFERROR(VLOOKUP("transport|SO2|Premature mortality", US_national_yearly!$D:$AM, 11, FALSE) / VLOOKUP("transport|SO2|Premature mortality", US_national_yearly!$D:$AM, 10, FALSE), 1)</f>
        <v>2.1013361672299496E-3</v>
      </c>
      <c r="D2" s="7">
        <f>$B2 * IFERROR(VLOOKUP("transport|SO2|Premature mortality", US_national_yearly!$D:$AM, 12, FALSE) / VLOOKUP("transport|SO2|Premature mortality", US_national_yearly!$D:$AM, 10, FALSE), 1)</f>
        <v>2.1276156375568561E-3</v>
      </c>
      <c r="E2" s="7">
        <f>$B2 * IFERROR(VLOOKUP("transport|SO2|Premature mortality", US_national_yearly!$D:$AM, 13, FALSE) / VLOOKUP("transport|SO2|Premature mortality", US_national_yearly!$D:$AM, 10, FALSE), 1)</f>
        <v>2.1538951078837625E-3</v>
      </c>
      <c r="F2" s="7">
        <f>$B2 * IFERROR(VLOOKUP("transport|SO2|Premature mortality", US_national_yearly!$D:$AM, 14, FALSE) / VLOOKUP("transport|SO2|Premature mortality", US_national_yearly!$D:$AM, 10, FALSE), 1)</f>
        <v>2.1801745782106686E-3</v>
      </c>
      <c r="G2" s="7">
        <f>$B2 * IFERROR(VLOOKUP("transport|SO2|Premature mortality", US_national_yearly!$D:$AM, 15, FALSE) / VLOOKUP("transport|SO2|Premature mortality", US_national_yearly!$D:$AM, 10, FALSE), 1)</f>
        <v>2.2308136281718118E-3</v>
      </c>
      <c r="H2" s="7">
        <f>$B2 * IFERROR(VLOOKUP("transport|SO2|Premature mortality", US_national_yearly!$D:$AM, 16, FALSE) / VLOOKUP("transport|SO2|Premature mortality", US_national_yearly!$D:$AM, 10, FALSE), 1)</f>
        <v>2.2814526781329545E-3</v>
      </c>
      <c r="I2" s="7">
        <f>$B2 * IFERROR(VLOOKUP("transport|SO2|Premature mortality", US_national_yearly!$D:$AM, 17, FALSE) / VLOOKUP("transport|SO2|Premature mortality", US_national_yearly!$D:$AM, 10, FALSE), 1)</f>
        <v>2.3149180652054088E-3</v>
      </c>
      <c r="J2" s="7">
        <f>$B2 * IFERROR(VLOOKUP("transport|SO2|Premature mortality", US_national_yearly!$D:$AM, 18, FALSE) / VLOOKUP("transport|SO2|Premature mortality", US_national_yearly!$D:$AM, 10, FALSE), 1)</f>
        <v>2.3483834522778635E-3</v>
      </c>
      <c r="K2" s="7">
        <f>$B2 * IFERROR(VLOOKUP("transport|SO2|Premature mortality", US_national_yearly!$D:$AM, 19, FALSE) / VLOOKUP("transport|SO2|Premature mortality", US_national_yearly!$D:$AM, 10, FALSE), 1)</f>
        <v>2.3818488393503173E-3</v>
      </c>
      <c r="L2" s="7">
        <f>$B2 * IFERROR(VLOOKUP("transport|SO2|Premature mortality", US_national_yearly!$D:$AM, 20, FALSE) / VLOOKUP("transport|SO2|Premature mortality", US_national_yearly!$D:$AM, 10, FALSE), 1)</f>
        <v>2.415314226422772E-3</v>
      </c>
      <c r="M2" s="7">
        <f>$B2 * IFERROR(VLOOKUP("transport|SO2|Premature mortality", US_national_yearly!$D:$AM, 21, FALSE) / VLOOKUP("transport|SO2|Premature mortality", US_national_yearly!$D:$AM, 10, FALSE), 1)</f>
        <v>2.4487796134952263E-3</v>
      </c>
      <c r="N2" s="7">
        <f>$B2 * IFERROR(VLOOKUP("transport|SO2|Premature mortality", US_national_yearly!$D:$AM, 22, FALSE) / VLOOKUP("transport|SO2|Premature mortality", US_national_yearly!$D:$AM, 10, FALSE), 1)</f>
        <v>2.4749276516997966E-3</v>
      </c>
      <c r="O2" s="7">
        <f>$B2 * IFERROR(VLOOKUP("transport|SO2|Premature mortality", US_national_yearly!$D:$AM, 23, FALSE) / VLOOKUP("transport|SO2|Premature mortality", US_national_yearly!$D:$AM, 10, FALSE), 1)</f>
        <v>2.5010756899043664E-3</v>
      </c>
      <c r="P2" s="7">
        <f>$B2 * IFERROR(VLOOKUP("transport|SO2|Premature mortality", US_national_yearly!$D:$AM, 24, FALSE) / VLOOKUP("transport|SO2|Premature mortality", US_national_yearly!$D:$AM, 10, FALSE), 1)</f>
        <v>2.5272237281089367E-3</v>
      </c>
      <c r="Q2" s="7">
        <f>$B2 * IFERROR(VLOOKUP("transport|SO2|Premature mortality", US_national_yearly!$D:$AM, 25, FALSE) / VLOOKUP("transport|SO2|Premature mortality", US_national_yearly!$D:$AM, 10, FALSE), 1)</f>
        <v>2.553371766313507E-3</v>
      </c>
      <c r="R2" s="7">
        <f>$B2 * IFERROR(VLOOKUP("transport|SO2|Premature mortality", US_national_yearly!$D:$AM, 26, FALSE) / VLOOKUP("transport|SO2|Premature mortality", US_national_yearly!$D:$AM, 10, FALSE), 1)</f>
        <v>2.5795198045180765E-3</v>
      </c>
      <c r="S2" s="7">
        <f>$B2 * IFERROR(VLOOKUP("transport|SO2|Premature mortality", US_national_yearly!$D:$AM, 27, FALSE) / VLOOKUP("transport|SO2|Premature mortality", US_national_yearly!$D:$AM, 10, FALSE), 1)</f>
        <v>2.5935224271429625E-3</v>
      </c>
      <c r="T2" s="7">
        <f>$B2 * IFERROR(VLOOKUP("transport|SO2|Premature mortality", US_national_yearly!$D:$AM, 28, FALSE) / VLOOKUP("transport|SO2|Premature mortality", US_national_yearly!$D:$AM, 10, FALSE), 1)</f>
        <v>2.6075250497678481E-3</v>
      </c>
      <c r="U2" s="7">
        <f>$B2 * IFERROR(VLOOKUP("transport|SO2|Premature mortality", US_national_yearly!$D:$AM, 29, FALSE) / VLOOKUP("transport|SO2|Premature mortality", US_national_yearly!$D:$AM, 10, FALSE), 1)</f>
        <v>2.6215276723927337E-3</v>
      </c>
      <c r="V2" s="7">
        <f>$B2 * IFERROR(VLOOKUP("transport|SO2|Premature mortality", US_national_yearly!$D:$AM, 30, FALSE) / VLOOKUP("transport|SO2|Premature mortality", US_national_yearly!$D:$AM, 10, FALSE), 1)</f>
        <v>2.6355302950176194E-3</v>
      </c>
      <c r="W2" s="7">
        <f>$B2 * IFERROR(VLOOKUP("transport|SO2|Premature mortality", US_national_yearly!$D:$AM, 31, FALSE) / VLOOKUP("transport|SO2|Premature mortality", US_national_yearly!$D:$AM, 10, FALSE), 1)</f>
        <v>2.6495329176425054E-3</v>
      </c>
      <c r="X2" s="7">
        <f>$B2 * IFERROR(VLOOKUP("transport|SO2|Premature mortality", US_national_yearly!$D:$AM, 32, FALSE) / VLOOKUP("transport|SO2|Premature mortality", US_national_yearly!$D:$AM, 10, FALSE), 1)</f>
        <v>2.6523775932595526E-3</v>
      </c>
      <c r="Y2" s="7">
        <f>$B2 * IFERROR(VLOOKUP("transport|SO2|Premature mortality", US_national_yearly!$D:$AM, 33, FALSE) / VLOOKUP("transport|SO2|Premature mortality", US_national_yearly!$D:$AM, 10, FALSE), 1)</f>
        <v>2.6552222688765999E-3</v>
      </c>
      <c r="Z2" s="7">
        <f>$B2 * IFERROR(VLOOKUP("transport|SO2|Premature mortality", US_national_yearly!$D:$AM, 34, FALSE) / VLOOKUP("transport|SO2|Premature mortality", US_national_yearly!$D:$AM, 10, FALSE), 1)</f>
        <v>2.6580669444936475E-3</v>
      </c>
      <c r="AA2" s="7">
        <f>$B2 * IFERROR(VLOOKUP("transport|SO2|Premature mortality", US_national_yearly!$D:$AM, 35, FALSE) / VLOOKUP("transport|SO2|Premature mortality", US_national_yearly!$D:$AM, 10, FALSE), 1)</f>
        <v>2.6609116201106952E-3</v>
      </c>
      <c r="AB2" s="7">
        <f>$B2 * IFERROR(VLOOKUP("transport|SO2|Premature mortality", US_national_yearly!$D:$AM, 36, FALSE) / VLOOKUP("transport|SO2|Premature mortality", US_national_yearly!$D:$AM, 10, FALSE), 1)</f>
        <v>2.663756295727742E-3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5.0183616781566666E-6</v>
      </c>
      <c r="C3" s="7">
        <f>$B3 * IFERROR(VLOOKUP("transport|SO2|Infant mortality", US_national_yearly!$D:$AM, 11, FALSE) / VLOOKUP("transport|SO2|Infant mortality", US_national_yearly!$D:$AM, 10, FALSE), 1)</f>
        <v>4.9752530359641738E-6</v>
      </c>
      <c r="D3" s="7">
        <f>$B3 * IFERROR(VLOOKUP("transport|SO2|Infant mortality", US_national_yearly!$D:$AM, 12, FALSE) / VLOOKUP("transport|SO2|Infant mortality", US_national_yearly!$D:$AM, 10, FALSE), 1)</f>
        <v>4.9321443937716811E-6</v>
      </c>
      <c r="E3" s="7">
        <f>$B3 * IFERROR(VLOOKUP("transport|SO2|Infant mortality", US_national_yearly!$D:$AM, 13, FALSE) / VLOOKUP("transport|SO2|Infant mortality", US_national_yearly!$D:$AM, 10, FALSE), 1)</f>
        <v>4.8890357515791875E-6</v>
      </c>
      <c r="F3" s="7">
        <f>$B3 * IFERROR(VLOOKUP("transport|SO2|Infant mortality", US_national_yearly!$D:$AM, 14, FALSE) / VLOOKUP("transport|SO2|Infant mortality", US_national_yearly!$D:$AM, 10, FALSE), 1)</f>
        <v>4.8459271093866956E-6</v>
      </c>
      <c r="G3" s="7">
        <f>$B3 * IFERROR(VLOOKUP("transport|SO2|Infant mortality", US_national_yearly!$D:$AM, 15, FALSE) / VLOOKUP("transport|SO2|Infant mortality", US_national_yearly!$D:$AM, 10, FALSE), 1)</f>
        <v>3.2277777534808419E-6</v>
      </c>
      <c r="H3" s="7">
        <f>$B3 * IFERROR(VLOOKUP("transport|SO2|Infant mortality", US_national_yearly!$D:$AM, 16, FALSE) / VLOOKUP("transport|SO2|Infant mortality", US_national_yearly!$D:$AM, 10, FALSE), 1)</f>
        <v>1.6096283975749916E-6</v>
      </c>
      <c r="I3" s="7">
        <f>$B3 * IFERROR(VLOOKUP("transport|SO2|Infant mortality", US_national_yearly!$D:$AM, 17, FALSE) / VLOOKUP("transport|SO2|Infant mortality", US_national_yearly!$D:$AM, 10, FALSE), 1)</f>
        <v>1.5995307125709598E-6</v>
      </c>
      <c r="J3" s="7">
        <f>$B3 * IFERROR(VLOOKUP("transport|SO2|Infant mortality", US_national_yearly!$D:$AM, 18, FALSE) / VLOOKUP("transport|SO2|Infant mortality", US_national_yearly!$D:$AM, 10, FALSE), 1)</f>
        <v>1.5894330275669283E-6</v>
      </c>
      <c r="K3" s="7">
        <f>$B3 * IFERROR(VLOOKUP("transport|SO2|Infant mortality", US_national_yearly!$D:$AM, 19, FALSE) / VLOOKUP("transport|SO2|Infant mortality", US_national_yearly!$D:$AM, 10, FALSE), 1)</f>
        <v>1.5793353425628967E-6</v>
      </c>
      <c r="L3" s="7">
        <f>$B3 * IFERROR(VLOOKUP("transport|SO2|Infant mortality", US_national_yearly!$D:$AM, 20, FALSE) / VLOOKUP("transport|SO2|Infant mortality", US_national_yearly!$D:$AM, 10, FALSE), 1)</f>
        <v>1.5692376575588654E-6</v>
      </c>
      <c r="M3" s="7">
        <f>$B3 * IFERROR(VLOOKUP("transport|SO2|Infant mortality", US_national_yearly!$D:$AM, 21, FALSE) / VLOOKUP("transport|SO2|Infant mortality", US_national_yearly!$D:$AM, 10, FALSE), 1)</f>
        <v>1.5591399725548337E-6</v>
      </c>
      <c r="N3" s="7">
        <f>$B3 * IFERROR(VLOOKUP("transport|SO2|Infant mortality", US_national_yearly!$D:$AM, 22, FALSE) / VLOOKUP("transport|SO2|Infant mortality", US_national_yearly!$D:$AM, 10, FALSE), 1)</f>
        <v>1.5528017312757601E-6</v>
      </c>
      <c r="O3" s="7">
        <f>$B3 * IFERROR(VLOOKUP("transport|SO2|Infant mortality", US_national_yearly!$D:$AM, 23, FALSE) / VLOOKUP("transport|SO2|Infant mortality", US_national_yearly!$D:$AM, 10, FALSE), 1)</f>
        <v>1.5464634899966862E-6</v>
      </c>
      <c r="P3" s="7">
        <f>$B3 * IFERROR(VLOOKUP("transport|SO2|Infant mortality", US_national_yearly!$D:$AM, 24, FALSE) / VLOOKUP("transport|SO2|Infant mortality", US_national_yearly!$D:$AM, 10, FALSE), 1)</f>
        <v>1.5401252487176122E-6</v>
      </c>
      <c r="Q3" s="7">
        <f>$B3 * IFERROR(VLOOKUP("transport|SO2|Infant mortality", US_national_yearly!$D:$AM, 25, FALSE) / VLOOKUP("transport|SO2|Infant mortality", US_national_yearly!$D:$AM, 10, FALSE), 1)</f>
        <v>1.5337870074385386E-6</v>
      </c>
      <c r="R3" s="7">
        <f>$B3 * IFERROR(VLOOKUP("transport|SO2|Infant mortality", US_national_yearly!$D:$AM, 26, FALSE) / VLOOKUP("transport|SO2|Infant mortality", US_national_yearly!$D:$AM, 10, FALSE), 1)</f>
        <v>1.5274487661594646E-6</v>
      </c>
      <c r="S3" s="7">
        <f>$B3 * IFERROR(VLOOKUP("transport|SO2|Infant mortality", US_national_yearly!$D:$AM, 27, FALSE) / VLOOKUP("transport|SO2|Infant mortality", US_national_yearly!$D:$AM, 10, FALSE), 1)</f>
        <v>1.5194907180996632E-6</v>
      </c>
      <c r="T3" s="7">
        <f>$B3 * IFERROR(VLOOKUP("transport|SO2|Infant mortality", US_national_yearly!$D:$AM, 28, FALSE) / VLOOKUP("transport|SO2|Infant mortality", US_national_yearly!$D:$AM, 10, FALSE), 1)</f>
        <v>1.5115326700398618E-6</v>
      </c>
      <c r="U3" s="7">
        <f>$B3 * IFERROR(VLOOKUP("transport|SO2|Infant mortality", US_national_yearly!$D:$AM, 29, FALSE) / VLOOKUP("transport|SO2|Infant mortality", US_national_yearly!$D:$AM, 10, FALSE), 1)</f>
        <v>1.5035746219800599E-6</v>
      </c>
      <c r="V3" s="7">
        <f>$B3 * IFERROR(VLOOKUP("transport|SO2|Infant mortality", US_national_yearly!$D:$AM, 30, FALSE) / VLOOKUP("transport|SO2|Infant mortality", US_national_yearly!$D:$AM, 10, FALSE), 1)</f>
        <v>1.4956165739202589E-6</v>
      </c>
      <c r="W3" s="7">
        <f>$B3 * IFERROR(VLOOKUP("transport|SO2|Infant mortality", US_national_yearly!$D:$AM, 31, FALSE) / VLOOKUP("transport|SO2|Infant mortality", US_national_yearly!$D:$AM, 10, FALSE), 1)</f>
        <v>1.4876585258604573E-6</v>
      </c>
      <c r="X3" s="7">
        <f>$B3 * IFERROR(VLOOKUP("transport|SO2|Infant mortality", US_national_yearly!$D:$AM, 32, FALSE) / VLOOKUP("transport|SO2|Infant mortality", US_national_yearly!$D:$AM, 10, FALSE), 1)</f>
        <v>1.4789579229039123E-6</v>
      </c>
      <c r="Y3" s="7">
        <f>$B3 * IFERROR(VLOOKUP("transport|SO2|Infant mortality", US_national_yearly!$D:$AM, 33, FALSE) / VLOOKUP("transport|SO2|Infant mortality", US_national_yearly!$D:$AM, 10, FALSE), 1)</f>
        <v>1.4702573199473668E-6</v>
      </c>
      <c r="Z3" s="7">
        <f>$B3 * IFERROR(VLOOKUP("transport|SO2|Infant mortality", US_national_yearly!$D:$AM, 34, FALSE) / VLOOKUP("transport|SO2|Infant mortality", US_national_yearly!$D:$AM, 10, FALSE), 1)</f>
        <v>1.4615567169908219E-6</v>
      </c>
      <c r="AA3" s="7">
        <f>$B3 * IFERROR(VLOOKUP("transport|SO2|Infant mortality", US_national_yearly!$D:$AM, 35, FALSE) / VLOOKUP("transport|SO2|Infant mortality", US_national_yearly!$D:$AM, 10, FALSE), 1)</f>
        <v>1.4528561140342764E-6</v>
      </c>
      <c r="AB3" s="7">
        <f>$B3 * IFERROR(VLOOKUP("transport|SO2|Infant mortality", US_national_yearly!$D:$AM, 36, FALSE) / VLOOKUP("transport|SO2|Infant mortality", US_national_yearly!$D:$AM, 10, FALSE), 1)</f>
        <v>1.4441555110777315E-6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4.6753946415845028E-3</v>
      </c>
      <c r="C6" s="7">
        <f>$B6 * IFERROR(VLOOKUP("transport|SO2|Asthma symptoms cough", US_national_yearly!$D:$AM, 11, FALSE) / VLOOKUP("transport|SO2|Asthma symptoms cough", US_national_yearly!$D:$AM, 10, FALSE), 1)</f>
        <v>4.6753946415845028E-3</v>
      </c>
      <c r="D6" s="7">
        <f>$B6 * IFERROR(VLOOKUP("transport|SO2|Asthma symptoms cough", US_national_yearly!$D:$AM, 12, FALSE) / VLOOKUP("transport|SO2|Asthma symptoms cough", US_national_yearly!$D:$AM, 10, FALSE), 1)</f>
        <v>4.6753946415845028E-3</v>
      </c>
      <c r="E6" s="7">
        <f>$B6 * IFERROR(VLOOKUP("transport|SO2|Asthma symptoms cough", US_national_yearly!$D:$AM, 13, FALSE) / VLOOKUP("transport|SO2|Asthma symptoms cough", US_national_yearly!$D:$AM, 10, FALSE), 1)</f>
        <v>4.6753946415845028E-3</v>
      </c>
      <c r="F6" s="7">
        <f>$B6 * IFERROR(VLOOKUP("transport|SO2|Asthma symptoms cough", US_national_yearly!$D:$AM, 14, FALSE) / VLOOKUP("transport|SO2|Asthma symptoms cough", US_national_yearly!$D:$AM, 10, FALSE), 1)</f>
        <v>4.6753946415845028E-3</v>
      </c>
      <c r="G6" s="7">
        <f>$B6 * IFERROR(VLOOKUP("transport|SO2|Asthma symptoms cough", US_national_yearly!$D:$AM, 15, FALSE) / VLOOKUP("transport|SO2|Asthma symptoms cough", US_national_yearly!$D:$AM, 10, FALSE), 1)</f>
        <v>4.6753946415845028E-3</v>
      </c>
      <c r="H6" s="7">
        <f>$B6 * IFERROR(VLOOKUP("transport|SO2|Asthma symptoms cough", US_national_yearly!$D:$AM, 16, FALSE) / VLOOKUP("transport|SO2|Asthma symptoms cough", US_national_yearly!$D:$AM, 10, FALSE), 1)</f>
        <v>4.6753946415845028E-3</v>
      </c>
      <c r="I6" s="7">
        <f>$B6 * IFERROR(VLOOKUP("transport|SO2|Asthma symptoms cough", US_national_yearly!$D:$AM, 17, FALSE) / VLOOKUP("transport|SO2|Asthma symptoms cough", US_national_yearly!$D:$AM, 10, FALSE), 1)</f>
        <v>4.6753946415845028E-3</v>
      </c>
      <c r="J6" s="7">
        <f>$B6 * IFERROR(VLOOKUP("transport|SO2|Asthma symptoms cough", US_national_yearly!$D:$AM, 18, FALSE) / VLOOKUP("transport|SO2|Asthma symptoms cough", US_national_yearly!$D:$AM, 10, FALSE), 1)</f>
        <v>4.6753946415845028E-3</v>
      </c>
      <c r="K6" s="7">
        <f>$B6 * IFERROR(VLOOKUP("transport|SO2|Asthma symptoms cough", US_national_yearly!$D:$AM, 19, FALSE) / VLOOKUP("transport|SO2|Asthma symptoms cough", US_national_yearly!$D:$AM, 10, FALSE), 1)</f>
        <v>4.6753946415845028E-3</v>
      </c>
      <c r="L6" s="7">
        <f>$B6 * IFERROR(VLOOKUP("transport|SO2|Asthma symptoms cough", US_national_yearly!$D:$AM, 20, FALSE) / VLOOKUP("transport|SO2|Asthma symptoms cough", US_national_yearly!$D:$AM, 10, FALSE), 1)</f>
        <v>4.6753946415845028E-3</v>
      </c>
      <c r="M6" s="7">
        <f>$B6 * IFERROR(VLOOKUP("transport|SO2|Asthma symptoms cough", US_national_yearly!$D:$AM, 21, FALSE) / VLOOKUP("transport|SO2|Asthma symptoms cough", US_national_yearly!$D:$AM, 10, FALSE), 1)</f>
        <v>4.6753946415845028E-3</v>
      </c>
      <c r="N6" s="7">
        <f>$B6 * IFERROR(VLOOKUP("transport|SO2|Asthma symptoms cough", US_national_yearly!$D:$AM, 22, FALSE) / VLOOKUP("transport|SO2|Asthma symptoms cough", US_national_yearly!$D:$AM, 10, FALSE), 1)</f>
        <v>4.6753946415845028E-3</v>
      </c>
      <c r="O6" s="7">
        <f>$B6 * IFERROR(VLOOKUP("transport|SO2|Asthma symptoms cough", US_national_yearly!$D:$AM, 23, FALSE) / VLOOKUP("transport|SO2|Asthma symptoms cough", US_national_yearly!$D:$AM, 10, FALSE), 1)</f>
        <v>4.6753946415845028E-3</v>
      </c>
      <c r="P6" s="7">
        <f>$B6 * IFERROR(VLOOKUP("transport|SO2|Asthma symptoms cough", US_national_yearly!$D:$AM, 24, FALSE) / VLOOKUP("transport|SO2|Asthma symptoms cough", US_national_yearly!$D:$AM, 10, FALSE), 1)</f>
        <v>4.6753946415845028E-3</v>
      </c>
      <c r="Q6" s="7">
        <f>$B6 * IFERROR(VLOOKUP("transport|SO2|Asthma symptoms cough", US_national_yearly!$D:$AM, 25, FALSE) / VLOOKUP("transport|SO2|Asthma symptoms cough", US_national_yearly!$D:$AM, 10, FALSE), 1)</f>
        <v>4.6753946415845028E-3</v>
      </c>
      <c r="R6" s="7">
        <f>$B6 * IFERROR(VLOOKUP("transport|SO2|Asthma symptoms cough", US_national_yearly!$D:$AM, 26, FALSE) / VLOOKUP("transport|SO2|Asthma symptoms cough", US_national_yearly!$D:$AM, 10, FALSE), 1)</f>
        <v>4.6753946415845028E-3</v>
      </c>
      <c r="S6" s="7">
        <f>$B6 * IFERROR(VLOOKUP("transport|SO2|Asthma symptoms cough", US_national_yearly!$D:$AM, 27, FALSE) / VLOOKUP("transport|SO2|Asthma symptoms cough", US_national_yearly!$D:$AM, 10, FALSE), 1)</f>
        <v>4.6753946415845028E-3</v>
      </c>
      <c r="T6" s="7">
        <f>$B6 * IFERROR(VLOOKUP("transport|SO2|Asthma symptoms cough", US_national_yearly!$D:$AM, 28, FALSE) / VLOOKUP("transport|SO2|Asthma symptoms cough", US_national_yearly!$D:$AM, 10, FALSE), 1)</f>
        <v>4.6753946415845028E-3</v>
      </c>
      <c r="U6" s="7">
        <f>$B6 * IFERROR(VLOOKUP("transport|SO2|Asthma symptoms cough", US_national_yearly!$D:$AM, 29, FALSE) / VLOOKUP("transport|SO2|Asthma symptoms cough", US_national_yearly!$D:$AM, 10, FALSE), 1)</f>
        <v>4.6753946415845028E-3</v>
      </c>
      <c r="V6" s="7">
        <f>$B6 * IFERROR(VLOOKUP("transport|SO2|Asthma symptoms cough", US_national_yearly!$D:$AM, 30, FALSE) / VLOOKUP("transport|SO2|Asthma symptoms cough", US_national_yearly!$D:$AM, 10, FALSE), 1)</f>
        <v>4.6753946415845028E-3</v>
      </c>
      <c r="W6" s="7">
        <f>$B6 * IFERROR(VLOOKUP("transport|SO2|Asthma symptoms cough", US_national_yearly!$D:$AM, 31, FALSE) / VLOOKUP("transport|SO2|Asthma symptoms cough", US_national_yearly!$D:$AM, 10, FALSE), 1)</f>
        <v>4.6753946415845028E-3</v>
      </c>
      <c r="X6" s="7">
        <f>$B6 * IFERROR(VLOOKUP("transport|SO2|Asthma symptoms cough", US_national_yearly!$D:$AM, 32, FALSE) / VLOOKUP("transport|SO2|Asthma symptoms cough", US_national_yearly!$D:$AM, 10, FALSE), 1)</f>
        <v>4.6753946415845028E-3</v>
      </c>
      <c r="Y6" s="7">
        <f>$B6 * IFERROR(VLOOKUP("transport|SO2|Asthma symptoms cough", US_national_yearly!$D:$AM, 33, FALSE) / VLOOKUP("transport|SO2|Asthma symptoms cough", US_national_yearly!$D:$AM, 10, FALSE), 1)</f>
        <v>4.6753946415845028E-3</v>
      </c>
      <c r="Z6" s="7">
        <f>$B6 * IFERROR(VLOOKUP("transport|SO2|Asthma symptoms cough", US_national_yearly!$D:$AM, 34, FALSE) / VLOOKUP("transport|SO2|Asthma symptoms cough", US_national_yearly!$D:$AM, 10, FALSE), 1)</f>
        <v>4.6753946415845028E-3</v>
      </c>
      <c r="AA6" s="7">
        <f>$B6 * IFERROR(VLOOKUP("transport|SO2|Asthma symptoms cough", US_national_yearly!$D:$AM, 35, FALSE) / VLOOKUP("transport|SO2|Asthma symptoms cough", US_national_yearly!$D:$AM, 10, FALSE), 1)</f>
        <v>4.6753946415845028E-3</v>
      </c>
      <c r="AB6" s="7">
        <f>$B6 * IFERROR(VLOOKUP("transport|SO2|Asthma symptoms cough", US_national_yearly!$D:$AM, 36, FALSE) / VLOOKUP("transport|SO2|Asthma symptoms cough", US_national_yearly!$D:$AM, 10, FALSE), 1)</f>
        <v>4.6753946415845028E-3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6.2961031952016968E-3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6.2961031952016968E-3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6.2961031952016968E-3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6.2961031952016968E-3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6.2961031952016968E-3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6.2961031952016968E-3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6.2961031952016968E-3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6.2961031952016968E-3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6.2961031952016968E-3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6.2961031952016968E-3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6.2961031952016968E-3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6.2961031952016968E-3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6.2961031952016968E-3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6.2961031952016968E-3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6.2961031952016968E-3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6.2961031952016968E-3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6.2961031952016968E-3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6.2961031952016968E-3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6.2961031952016968E-3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6.2961031952016968E-3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6.2961031952016968E-3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6.2961031952016968E-3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6.2961031952016968E-3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6.2961031952016968E-3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6.2961031952016968E-3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6.2961031952016968E-3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6.2961031952016968E-3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9.6193576763624489E-3</v>
      </c>
      <c r="C8" s="7">
        <f>$B8 * IFERROR(VLOOKUP("transport|SO2|Asthma symptoms wheeze", US_national_yearly!$D:$AM, 11, FALSE) / VLOOKUP("transport|SO2|Asthma symptoms wheeze", US_national_yearly!$D:$AM, 10, FALSE), 1)</f>
        <v>9.6193576763624489E-3</v>
      </c>
      <c r="D8" s="7">
        <f>$B8 * IFERROR(VLOOKUP("transport|SO2|Asthma symptoms wheeze", US_national_yearly!$D:$AM, 12, FALSE) / VLOOKUP("transport|SO2|Asthma symptoms wheeze", US_national_yearly!$D:$AM, 10, FALSE), 1)</f>
        <v>9.6193576763624489E-3</v>
      </c>
      <c r="E8" s="7">
        <f>$B8 * IFERROR(VLOOKUP("transport|SO2|Asthma symptoms wheeze", US_national_yearly!$D:$AM, 13, FALSE) / VLOOKUP("transport|SO2|Asthma symptoms wheeze", US_national_yearly!$D:$AM, 10, FALSE), 1)</f>
        <v>9.6193576763624489E-3</v>
      </c>
      <c r="F8" s="7">
        <f>$B8 * IFERROR(VLOOKUP("transport|SO2|Asthma symptoms wheeze", US_national_yearly!$D:$AM, 14, FALSE) / VLOOKUP("transport|SO2|Asthma symptoms wheeze", US_national_yearly!$D:$AM, 10, FALSE), 1)</f>
        <v>9.6193576763624489E-3</v>
      </c>
      <c r="G8" s="7">
        <f>$B8 * IFERROR(VLOOKUP("transport|SO2|Asthma symptoms wheeze", US_national_yearly!$D:$AM, 15, FALSE) / VLOOKUP("transport|SO2|Asthma symptoms wheeze", US_national_yearly!$D:$AM, 10, FALSE), 1)</f>
        <v>9.6193576763624489E-3</v>
      </c>
      <c r="H8" s="7">
        <f>$B8 * IFERROR(VLOOKUP("transport|SO2|Asthma symptoms wheeze", US_national_yearly!$D:$AM, 16, FALSE) / VLOOKUP("transport|SO2|Asthma symptoms wheeze", US_national_yearly!$D:$AM, 10, FALSE), 1)</f>
        <v>9.6193576763624489E-3</v>
      </c>
      <c r="I8" s="7">
        <f>$B8 * IFERROR(VLOOKUP("transport|SO2|Asthma symptoms wheeze", US_national_yearly!$D:$AM, 17, FALSE) / VLOOKUP("transport|SO2|Asthma symptoms wheeze", US_national_yearly!$D:$AM, 10, FALSE), 1)</f>
        <v>9.6193576763624489E-3</v>
      </c>
      <c r="J8" s="7">
        <f>$B8 * IFERROR(VLOOKUP("transport|SO2|Asthma symptoms wheeze", US_national_yearly!$D:$AM, 18, FALSE) / VLOOKUP("transport|SO2|Asthma symptoms wheeze", US_national_yearly!$D:$AM, 10, FALSE), 1)</f>
        <v>9.6193576763624489E-3</v>
      </c>
      <c r="K8" s="7">
        <f>$B8 * IFERROR(VLOOKUP("transport|SO2|Asthma symptoms wheeze", US_national_yearly!$D:$AM, 19, FALSE) / VLOOKUP("transport|SO2|Asthma symptoms wheeze", US_national_yearly!$D:$AM, 10, FALSE), 1)</f>
        <v>9.6193576763624489E-3</v>
      </c>
      <c r="L8" s="7">
        <f>$B8 * IFERROR(VLOOKUP("transport|SO2|Asthma symptoms wheeze", US_national_yearly!$D:$AM, 20, FALSE) / VLOOKUP("transport|SO2|Asthma symptoms wheeze", US_national_yearly!$D:$AM, 10, FALSE), 1)</f>
        <v>9.6193576763624489E-3</v>
      </c>
      <c r="M8" s="7">
        <f>$B8 * IFERROR(VLOOKUP("transport|SO2|Asthma symptoms wheeze", US_national_yearly!$D:$AM, 21, FALSE) / VLOOKUP("transport|SO2|Asthma symptoms wheeze", US_national_yearly!$D:$AM, 10, FALSE), 1)</f>
        <v>9.6193576763624489E-3</v>
      </c>
      <c r="N8" s="7">
        <f>$B8 * IFERROR(VLOOKUP("transport|SO2|Asthma symptoms wheeze", US_national_yearly!$D:$AM, 22, FALSE) / VLOOKUP("transport|SO2|Asthma symptoms wheeze", US_national_yearly!$D:$AM, 10, FALSE), 1)</f>
        <v>9.6193576763624489E-3</v>
      </c>
      <c r="O8" s="7">
        <f>$B8 * IFERROR(VLOOKUP("transport|SO2|Asthma symptoms wheeze", US_national_yearly!$D:$AM, 23, FALSE) / VLOOKUP("transport|SO2|Asthma symptoms wheeze", US_national_yearly!$D:$AM, 10, FALSE), 1)</f>
        <v>9.6193576763624489E-3</v>
      </c>
      <c r="P8" s="7">
        <f>$B8 * IFERROR(VLOOKUP("transport|SO2|Asthma symptoms wheeze", US_national_yearly!$D:$AM, 24, FALSE) / VLOOKUP("transport|SO2|Asthma symptoms wheeze", US_national_yearly!$D:$AM, 10, FALSE), 1)</f>
        <v>9.6193576763624489E-3</v>
      </c>
      <c r="Q8" s="7">
        <f>$B8 * IFERROR(VLOOKUP("transport|SO2|Asthma symptoms wheeze", US_national_yearly!$D:$AM, 25, FALSE) / VLOOKUP("transport|SO2|Asthma symptoms wheeze", US_national_yearly!$D:$AM, 10, FALSE), 1)</f>
        <v>9.6193576763624489E-3</v>
      </c>
      <c r="R8" s="7">
        <f>$B8 * IFERROR(VLOOKUP("transport|SO2|Asthma symptoms wheeze", US_national_yearly!$D:$AM, 26, FALSE) / VLOOKUP("transport|SO2|Asthma symptoms wheeze", US_national_yearly!$D:$AM, 10, FALSE), 1)</f>
        <v>9.6193576763624489E-3</v>
      </c>
      <c r="S8" s="7">
        <f>$B8 * IFERROR(VLOOKUP("transport|SO2|Asthma symptoms wheeze", US_national_yearly!$D:$AM, 27, FALSE) / VLOOKUP("transport|SO2|Asthma symptoms wheeze", US_national_yearly!$D:$AM, 10, FALSE), 1)</f>
        <v>9.6193576763624489E-3</v>
      </c>
      <c r="T8" s="7">
        <f>$B8 * IFERROR(VLOOKUP("transport|SO2|Asthma symptoms wheeze", US_national_yearly!$D:$AM, 28, FALSE) / VLOOKUP("transport|SO2|Asthma symptoms wheeze", US_national_yearly!$D:$AM, 10, FALSE), 1)</f>
        <v>9.6193576763624489E-3</v>
      </c>
      <c r="U8" s="7">
        <f>$B8 * IFERROR(VLOOKUP("transport|SO2|Asthma symptoms wheeze", US_national_yearly!$D:$AM, 29, FALSE) / VLOOKUP("transport|SO2|Asthma symptoms wheeze", US_national_yearly!$D:$AM, 10, FALSE), 1)</f>
        <v>9.6193576763624489E-3</v>
      </c>
      <c r="V8" s="7">
        <f>$B8 * IFERROR(VLOOKUP("transport|SO2|Asthma symptoms wheeze", US_national_yearly!$D:$AM, 30, FALSE) / VLOOKUP("transport|SO2|Asthma symptoms wheeze", US_national_yearly!$D:$AM, 10, FALSE), 1)</f>
        <v>9.6193576763624489E-3</v>
      </c>
      <c r="W8" s="7">
        <f>$B8 * IFERROR(VLOOKUP("transport|SO2|Asthma symptoms wheeze", US_national_yearly!$D:$AM, 31, FALSE) / VLOOKUP("transport|SO2|Asthma symptoms wheeze", US_national_yearly!$D:$AM, 10, FALSE), 1)</f>
        <v>9.6193576763624489E-3</v>
      </c>
      <c r="X8" s="7">
        <f>$B8 * IFERROR(VLOOKUP("transport|SO2|Asthma symptoms wheeze", US_national_yearly!$D:$AM, 32, FALSE) / VLOOKUP("transport|SO2|Asthma symptoms wheeze", US_national_yearly!$D:$AM, 10, FALSE), 1)</f>
        <v>9.6193576763624489E-3</v>
      </c>
      <c r="Y8" s="7">
        <f>$B8 * IFERROR(VLOOKUP("transport|SO2|Asthma symptoms wheeze", US_national_yearly!$D:$AM, 33, FALSE) / VLOOKUP("transport|SO2|Asthma symptoms wheeze", US_national_yearly!$D:$AM, 10, FALSE), 1)</f>
        <v>9.6193576763624489E-3</v>
      </c>
      <c r="Z8" s="7">
        <f>$B8 * IFERROR(VLOOKUP("transport|SO2|Asthma symptoms wheeze", US_national_yearly!$D:$AM, 34, FALSE) / VLOOKUP("transport|SO2|Asthma symptoms wheeze", US_national_yearly!$D:$AM, 10, FALSE), 1)</f>
        <v>9.6193576763624489E-3</v>
      </c>
      <c r="AA8" s="7">
        <f>$B8 * IFERROR(VLOOKUP("transport|SO2|Asthma symptoms wheeze", US_national_yearly!$D:$AM, 35, FALSE) / VLOOKUP("transport|SO2|Asthma symptoms wheeze", US_national_yearly!$D:$AM, 10, FALSE), 1)</f>
        <v>9.6193576763624489E-3</v>
      </c>
      <c r="AB8" s="7">
        <f>$B8 * IFERROR(VLOOKUP("transport|SO2|Asthma symptoms wheeze", US_national_yearly!$D:$AM, 36, FALSE) / VLOOKUP("transport|SO2|Asthma symptoms wheeze", US_national_yearly!$D:$AM, 10, FALSE), 1)</f>
        <v>9.6193576763624489E-3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1.5149708577841592E-4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1.5239062311896948E-4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1.5328416045952301E-4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1.5417769780007656E-4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1.5507123514063012E-4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1.5604534155566553E-4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1.5701944797070095E-4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1.579800328770592E-4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1.5894061778341746E-4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1.5990120268977566E-4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1.6086178759613394E-4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1.6182237250249215E-4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1.6252356983222468E-4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1.6322476716195718E-4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1.6392596449168968E-4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1.6462716182142218E-4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1.6532835915115468E-4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1.6599724790085352E-4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1.666661366505523E-4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1.6733502540025111E-4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1.6800391414994995E-4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1.6867280289964879E-4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1.6930746850463103E-4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1.6994213410961327E-4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1.7057679971459552E-4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1.7121146531957776E-4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1.7184613092456006E-4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9.047819417389929E-4</v>
      </c>
      <c r="C13" s="7">
        <f>$B13 * IFERROR(VLOOKUP("transport|SO2|Non-fatal heart attacks", US_national_yearly!$D:$AM, 11, FALSE) / VLOOKUP("transport|SO2|Non-fatal heart attacks", US_national_yearly!$D:$AM, 10, FALSE), 1)</f>
        <v>9.3134305320024429E-4</v>
      </c>
      <c r="D13" s="7">
        <f>$B13 * IFERROR(VLOOKUP("transport|SO2|Non-fatal heart attacks", US_national_yearly!$D:$AM, 12, FALSE) / VLOOKUP("transport|SO2|Non-fatal heart attacks", US_national_yearly!$D:$AM, 10, FALSE), 1)</f>
        <v>9.5790416466149579E-4</v>
      </c>
      <c r="E13" s="7">
        <f>$B13 * IFERROR(VLOOKUP("transport|SO2|Non-fatal heart attacks", US_national_yearly!$D:$AM, 13, FALSE) / VLOOKUP("transport|SO2|Non-fatal heart attacks", US_national_yearly!$D:$AM, 10, FALSE), 1)</f>
        <v>9.8446527612274719E-4</v>
      </c>
      <c r="F13" s="7">
        <f>$B13 * IFERROR(VLOOKUP("transport|SO2|Non-fatal heart attacks", US_national_yearly!$D:$AM, 14, FALSE) / VLOOKUP("transport|SO2|Non-fatal heart attacks", US_national_yearly!$D:$AM, 10, FALSE), 1)</f>
        <v>1.0110263875839985E-3</v>
      </c>
      <c r="G13" s="7">
        <f>$B13 * IFERROR(VLOOKUP("transport|SO2|Non-fatal heart attacks", US_national_yearly!$D:$AM, 15, FALSE) / VLOOKUP("transport|SO2|Non-fatal heart attacks", US_national_yearly!$D:$AM, 10, FALSE), 1)</f>
        <v>1.0360759793855531E-3</v>
      </c>
      <c r="H13" s="7">
        <f>$B13 * IFERROR(VLOOKUP("transport|SO2|Non-fatal heart attacks", US_national_yearly!$D:$AM, 16, FALSE) / VLOOKUP("transport|SO2|Non-fatal heart attacks", US_national_yearly!$D:$AM, 10, FALSE), 1)</f>
        <v>1.061125571187108E-3</v>
      </c>
      <c r="I13" s="7">
        <f>$B13 * IFERROR(VLOOKUP("transport|SO2|Non-fatal heart attacks", US_national_yearly!$D:$AM, 17, FALSE) / VLOOKUP("transport|SO2|Non-fatal heart attacks", US_national_yearly!$D:$AM, 10, FALSE), 1)</f>
        <v>1.0812826399035089E-3</v>
      </c>
      <c r="J13" s="7">
        <f>$B13 * IFERROR(VLOOKUP("transport|SO2|Non-fatal heart attacks", US_national_yearly!$D:$AM, 18, FALSE) / VLOOKUP("transport|SO2|Non-fatal heart attacks", US_national_yearly!$D:$AM, 10, FALSE), 1)</f>
        <v>1.10143970861991E-3</v>
      </c>
      <c r="K13" s="7">
        <f>$B13 * IFERROR(VLOOKUP("transport|SO2|Non-fatal heart attacks", US_national_yearly!$D:$AM, 19, FALSE) / VLOOKUP("transport|SO2|Non-fatal heart attacks", US_national_yearly!$D:$AM, 10, FALSE), 1)</f>
        <v>1.1215967773363109E-3</v>
      </c>
      <c r="L13" s="7">
        <f>$B13 * IFERROR(VLOOKUP("transport|SO2|Non-fatal heart attacks", US_national_yearly!$D:$AM, 20, FALSE) / VLOOKUP("transport|SO2|Non-fatal heart attacks", US_national_yearly!$D:$AM, 10, FALSE), 1)</f>
        <v>1.1417538460527122E-3</v>
      </c>
      <c r="M13" s="7">
        <f>$B13 * IFERROR(VLOOKUP("transport|SO2|Non-fatal heart attacks", US_national_yearly!$D:$AM, 21, FALSE) / VLOOKUP("transport|SO2|Non-fatal heart attacks", US_national_yearly!$D:$AM, 10, FALSE), 1)</f>
        <v>1.1619109147691133E-3</v>
      </c>
      <c r="N13" s="7">
        <f>$B13 * IFERROR(VLOOKUP("transport|SO2|Non-fatal heart attacks", US_national_yearly!$D:$AM, 22, FALSE) / VLOOKUP("transport|SO2|Non-fatal heart attacks", US_national_yearly!$D:$AM, 10, FALSE), 1)</f>
        <v>1.1749991430163728E-3</v>
      </c>
      <c r="O13" s="7">
        <f>$B13 * IFERROR(VLOOKUP("transport|SO2|Non-fatal heart attacks", US_national_yearly!$D:$AM, 23, FALSE) / VLOOKUP("transport|SO2|Non-fatal heart attacks", US_national_yearly!$D:$AM, 10, FALSE), 1)</f>
        <v>1.1880873712636325E-3</v>
      </c>
      <c r="P13" s="7">
        <f>$B13 * IFERROR(VLOOKUP("transport|SO2|Non-fatal heart attacks", US_national_yearly!$D:$AM, 24, FALSE) / VLOOKUP("transport|SO2|Non-fatal heart attacks", US_national_yearly!$D:$AM, 10, FALSE), 1)</f>
        <v>1.2011755995108922E-3</v>
      </c>
      <c r="Q13" s="7">
        <f>$B13 * IFERROR(VLOOKUP("transport|SO2|Non-fatal heart attacks", US_national_yearly!$D:$AM, 25, FALSE) / VLOOKUP("transport|SO2|Non-fatal heart attacks", US_national_yearly!$D:$AM, 10, FALSE), 1)</f>
        <v>1.2142638277581519E-3</v>
      </c>
      <c r="R13" s="7">
        <f>$B13 * IFERROR(VLOOKUP("transport|SO2|Non-fatal heart attacks", US_national_yearly!$D:$AM, 26, FALSE) / VLOOKUP("transport|SO2|Non-fatal heart attacks", US_national_yearly!$D:$AM, 10, FALSE), 1)</f>
        <v>1.2273520560054114E-3</v>
      </c>
      <c r="S13" s="7">
        <f>$B13 * IFERROR(VLOOKUP("transport|SO2|Non-fatal heart attacks", US_national_yearly!$D:$AM, 27, FALSE) / VLOOKUP("transport|SO2|Non-fatal heart attacks", US_national_yearly!$D:$AM, 10, FALSE), 1)</f>
        <v>1.2341853463547828E-3</v>
      </c>
      <c r="T13" s="7">
        <f>$B13 * IFERROR(VLOOKUP("transport|SO2|Non-fatal heart attacks", US_national_yearly!$D:$AM, 28, FALSE) / VLOOKUP("transport|SO2|Non-fatal heart attacks", US_national_yearly!$D:$AM, 10, FALSE), 1)</f>
        <v>1.2410186367041542E-3</v>
      </c>
      <c r="U13" s="7">
        <f>$B13 * IFERROR(VLOOKUP("transport|SO2|Non-fatal heart attacks", US_national_yearly!$D:$AM, 29, FALSE) / VLOOKUP("transport|SO2|Non-fatal heart attacks", US_national_yearly!$D:$AM, 10, FALSE), 1)</f>
        <v>1.2478519270535254E-3</v>
      </c>
      <c r="V13" s="7">
        <f>$B13 * IFERROR(VLOOKUP("transport|SO2|Non-fatal heart attacks", US_national_yearly!$D:$AM, 30, FALSE) / VLOOKUP("transport|SO2|Non-fatal heart attacks", US_national_yearly!$D:$AM, 10, FALSE), 1)</f>
        <v>1.2546852174028969E-3</v>
      </c>
      <c r="W13" s="7">
        <f>$B13 * IFERROR(VLOOKUP("transport|SO2|Non-fatal heart attacks", US_national_yearly!$D:$AM, 31, FALSE) / VLOOKUP("transport|SO2|Non-fatal heart attacks", US_national_yearly!$D:$AM, 10, FALSE), 1)</f>
        <v>1.2615185077522683E-3</v>
      </c>
      <c r="X13" s="7">
        <f>$B13 * IFERROR(VLOOKUP("transport|SO2|Non-fatal heart attacks", US_national_yearly!$D:$AM, 32, FALSE) / VLOOKUP("transport|SO2|Non-fatal heart attacks", US_national_yearly!$D:$AM, 10, FALSE), 1)</f>
        <v>1.2666770442318206E-3</v>
      </c>
      <c r="Y13" s="7">
        <f>$B13 * IFERROR(VLOOKUP("transport|SO2|Non-fatal heart attacks", US_national_yearly!$D:$AM, 33, FALSE) / VLOOKUP("transport|SO2|Non-fatal heart attacks", US_national_yearly!$D:$AM, 10, FALSE), 1)</f>
        <v>1.2718355807113729E-3</v>
      </c>
      <c r="Z13" s="7">
        <f>$B13 * IFERROR(VLOOKUP("transport|SO2|Non-fatal heart attacks", US_national_yearly!$D:$AM, 34, FALSE) / VLOOKUP("transport|SO2|Non-fatal heart attacks", US_national_yearly!$D:$AM, 10, FALSE), 1)</f>
        <v>1.2769941171909252E-3</v>
      </c>
      <c r="AA13" s="7">
        <f>$B13 * IFERROR(VLOOKUP("transport|SO2|Non-fatal heart attacks", US_national_yearly!$D:$AM, 35, FALSE) / VLOOKUP("transport|SO2|Non-fatal heart attacks", US_national_yearly!$D:$AM, 10, FALSE), 1)</f>
        <v>1.2821526536704775E-3</v>
      </c>
      <c r="AB13" s="7">
        <f>$B13 * IFERROR(VLOOKUP("transport|SO2|Non-fatal heart attacks", US_national_yearly!$D:$AM, 36, FALSE) / VLOOKUP("transport|SO2|Non-fatal heart attacks", US_national_yearly!$D:$AM, 10, FALSE), 1)</f>
        <v>1.2873111901500296E-3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0.60058123528151897</v>
      </c>
      <c r="C14" s="7">
        <f>$B14 * IFERROR(VLOOKUP("transport|SO2|Minor restricted activity days", US_national_yearly!$D:$AM, 11, FALSE) / VLOOKUP("transport|SO2|Minor restricted activity days", US_national_yearly!$D:$AM, 10, FALSE), 1)</f>
        <v>0.60209510046660708</v>
      </c>
      <c r="D14" s="7">
        <f>$B14 * IFERROR(VLOOKUP("transport|SO2|Minor restricted activity days", US_national_yearly!$D:$AM, 12, FALSE) / VLOOKUP("transport|SO2|Minor restricted activity days", US_national_yearly!$D:$AM, 10, FALSE), 1)</f>
        <v>0.60360896565169508</v>
      </c>
      <c r="E14" s="7">
        <f>$B14 * IFERROR(VLOOKUP("transport|SO2|Minor restricted activity days", US_national_yearly!$D:$AM, 13, FALSE) / VLOOKUP("transport|SO2|Minor restricted activity days", US_national_yearly!$D:$AM, 10, FALSE), 1)</f>
        <v>0.6051228308367832</v>
      </c>
      <c r="F14" s="7">
        <f>$B14 * IFERROR(VLOOKUP("transport|SO2|Minor restricted activity days", US_national_yearly!$D:$AM, 14, FALSE) / VLOOKUP("transport|SO2|Minor restricted activity days", US_national_yearly!$D:$AM, 10, FALSE), 1)</f>
        <v>0.6066366960218712</v>
      </c>
      <c r="G14" s="7">
        <f>$B14 * IFERROR(VLOOKUP("transport|SO2|Minor restricted activity days", US_national_yearly!$D:$AM, 15, FALSE) / VLOOKUP("transport|SO2|Minor restricted activity days", US_national_yearly!$D:$AM, 10, FALSE), 1)</f>
        <v>0.60886495685137465</v>
      </c>
      <c r="H14" s="7">
        <f>$B14 * IFERROR(VLOOKUP("transport|SO2|Minor restricted activity days", US_national_yearly!$D:$AM, 16, FALSE) / VLOOKUP("transport|SO2|Minor restricted activity days", US_national_yearly!$D:$AM, 10, FALSE), 1)</f>
        <v>0.6110932176808781</v>
      </c>
      <c r="I14" s="7">
        <f>$B14 * IFERROR(VLOOKUP("transport|SO2|Minor restricted activity days", US_national_yearly!$D:$AM, 17, FALSE) / VLOOKUP("transport|SO2|Minor restricted activity days", US_national_yearly!$D:$AM, 10, FALSE), 1)</f>
        <v>0.61489330882735216</v>
      </c>
      <c r="J14" s="7">
        <f>$B14 * IFERROR(VLOOKUP("transport|SO2|Minor restricted activity days", US_national_yearly!$D:$AM, 18, FALSE) / VLOOKUP("transport|SO2|Minor restricted activity days", US_national_yearly!$D:$AM, 10, FALSE), 1)</f>
        <v>0.61869339997382633</v>
      </c>
      <c r="K14" s="7">
        <f>$B14 * IFERROR(VLOOKUP("transport|SO2|Minor restricted activity days", US_national_yearly!$D:$AM, 19, FALSE) / VLOOKUP("transport|SO2|Minor restricted activity days", US_national_yearly!$D:$AM, 10, FALSE), 1)</f>
        <v>0.62249349112030061</v>
      </c>
      <c r="L14" s="7">
        <f>$B14 * IFERROR(VLOOKUP("transport|SO2|Minor restricted activity days", US_national_yearly!$D:$AM, 20, FALSE) / VLOOKUP("transport|SO2|Minor restricted activity days", US_national_yearly!$D:$AM, 10, FALSE), 1)</f>
        <v>0.62629358226677467</v>
      </c>
      <c r="M14" s="7">
        <f>$B14 * IFERROR(VLOOKUP("transport|SO2|Minor restricted activity days", US_national_yearly!$D:$AM, 21, FALSE) / VLOOKUP("transport|SO2|Minor restricted activity days", US_national_yearly!$D:$AM, 10, FALSE), 1)</f>
        <v>0.63009367341324884</v>
      </c>
      <c r="N14" s="7">
        <f>$B14 * IFERROR(VLOOKUP("transport|SO2|Minor restricted activity days", US_national_yearly!$D:$AM, 22, FALSE) / VLOOKUP("transport|SO2|Minor restricted activity days", US_national_yearly!$D:$AM, 10, FALSE), 1)</f>
        <v>0.63529158834288224</v>
      </c>
      <c r="O14" s="7">
        <f>$B14 * IFERROR(VLOOKUP("transport|SO2|Minor restricted activity days", US_national_yearly!$D:$AM, 23, FALSE) / VLOOKUP("transport|SO2|Minor restricted activity days", US_national_yearly!$D:$AM, 10, FALSE), 1)</f>
        <v>0.64048950327251564</v>
      </c>
      <c r="P14" s="7">
        <f>$B14 * IFERROR(VLOOKUP("transport|SO2|Minor restricted activity days", US_national_yearly!$D:$AM, 24, FALSE) / VLOOKUP("transport|SO2|Minor restricted activity days", US_national_yearly!$D:$AM, 10, FALSE), 1)</f>
        <v>0.64568741820214914</v>
      </c>
      <c r="Q14" s="7">
        <f>$B14 * IFERROR(VLOOKUP("transport|SO2|Minor restricted activity days", US_national_yearly!$D:$AM, 25, FALSE) / VLOOKUP("transport|SO2|Minor restricted activity days", US_national_yearly!$D:$AM, 10, FALSE), 1)</f>
        <v>0.65088533313178254</v>
      </c>
      <c r="R14" s="7">
        <f>$B14 * IFERROR(VLOOKUP("transport|SO2|Minor restricted activity days", US_national_yearly!$D:$AM, 26, FALSE) / VLOOKUP("transport|SO2|Minor restricted activity days", US_national_yearly!$D:$AM, 10, FALSE), 1)</f>
        <v>0.65608324806141594</v>
      </c>
      <c r="S14" s="7">
        <f>$B14 * IFERROR(VLOOKUP("transport|SO2|Minor restricted activity days", US_national_yearly!$D:$AM, 27, FALSE) / VLOOKUP("transport|SO2|Minor restricted activity days", US_national_yearly!$D:$AM, 10, FALSE), 1)</f>
        <v>0.66138303107251262</v>
      </c>
      <c r="T14" s="7">
        <f>$B14 * IFERROR(VLOOKUP("transport|SO2|Minor restricted activity days", US_national_yearly!$D:$AM, 28, FALSE) / VLOOKUP("transport|SO2|Minor restricted activity days", US_national_yearly!$D:$AM, 10, FALSE), 1)</f>
        <v>0.66668281408360919</v>
      </c>
      <c r="U14" s="7">
        <f>$B14 * IFERROR(VLOOKUP("transport|SO2|Minor restricted activity days", US_national_yearly!$D:$AM, 29, FALSE) / VLOOKUP("transport|SO2|Minor restricted activity days", US_national_yearly!$D:$AM, 10, FALSE), 1)</f>
        <v>0.67198259709470587</v>
      </c>
      <c r="V14" s="7">
        <f>$B14 * IFERROR(VLOOKUP("transport|SO2|Minor restricted activity days", US_national_yearly!$D:$AM, 30, FALSE) / VLOOKUP("transport|SO2|Minor restricted activity days", US_national_yearly!$D:$AM, 10, FALSE), 1)</f>
        <v>0.67728238010580255</v>
      </c>
      <c r="W14" s="7">
        <f>$B14 * IFERROR(VLOOKUP("transport|SO2|Minor restricted activity days", US_national_yearly!$D:$AM, 31, FALSE) / VLOOKUP("transport|SO2|Minor restricted activity days", US_national_yearly!$D:$AM, 10, FALSE), 1)</f>
        <v>0.68258216311689923</v>
      </c>
      <c r="X14" s="7">
        <f>$B14 * IFERROR(VLOOKUP("transport|SO2|Minor restricted activity days", US_national_yearly!$D:$AM, 32, FALSE) / VLOOKUP("transport|SO2|Minor restricted activity days", US_national_yearly!$D:$AM, 10, FALSE), 1)</f>
        <v>0.68724289994172338</v>
      </c>
      <c r="Y14" s="7">
        <f>$B14 * IFERROR(VLOOKUP("transport|SO2|Minor restricted activity days", US_national_yearly!$D:$AM, 33, FALSE) / VLOOKUP("transport|SO2|Minor restricted activity days", US_national_yearly!$D:$AM, 10, FALSE), 1)</f>
        <v>0.69190363676654754</v>
      </c>
      <c r="Z14" s="7">
        <f>$B14 * IFERROR(VLOOKUP("transport|SO2|Minor restricted activity days", US_national_yearly!$D:$AM, 34, FALSE) / VLOOKUP("transport|SO2|Minor restricted activity days", US_national_yearly!$D:$AM, 10, FALSE), 1)</f>
        <v>0.69656437359137169</v>
      </c>
      <c r="AA14" s="7">
        <f>$B14 * IFERROR(VLOOKUP("transport|SO2|Minor restricted activity days", US_national_yearly!$D:$AM, 35, FALSE) / VLOOKUP("transport|SO2|Minor restricted activity days", US_national_yearly!$D:$AM, 10, FALSE), 1)</f>
        <v>0.70122511041619584</v>
      </c>
      <c r="AB14" s="7">
        <f>$B14 * IFERROR(VLOOKUP("transport|SO2|Minor restricted activity days", US_national_yearly!$D:$AM, 36, FALSE) / VLOOKUP("transport|SO2|Minor restricted activity days", US_national_yearly!$D:$AM, 10, FALSE), 1)</f>
        <v>0.7058858472410201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0.10166770025128882</v>
      </c>
      <c r="C15" s="7">
        <f>$B15 * IFERROR(VLOOKUP("transport|SO2|Work loss days", US_national_yearly!$D:$AM, 11, FALSE) / VLOOKUP("transport|SO2|Work loss days", US_national_yearly!$D:$AM, 10, FALSE), 1)</f>
        <v>0.10199708744145135</v>
      </c>
      <c r="D15" s="7">
        <f>$B15 * IFERROR(VLOOKUP("transport|SO2|Work loss days", US_national_yearly!$D:$AM, 12, FALSE) / VLOOKUP("transport|SO2|Work loss days", US_national_yearly!$D:$AM, 10, FALSE), 1)</f>
        <v>0.10232647463161387</v>
      </c>
      <c r="E15" s="7">
        <f>$B15 * IFERROR(VLOOKUP("transport|SO2|Work loss days", US_national_yearly!$D:$AM, 13, FALSE) / VLOOKUP("transport|SO2|Work loss days", US_national_yearly!$D:$AM, 10, FALSE), 1)</f>
        <v>0.10265586182177641</v>
      </c>
      <c r="F15" s="7">
        <f>$B15 * IFERROR(VLOOKUP("transport|SO2|Work loss days", US_national_yearly!$D:$AM, 14, FALSE) / VLOOKUP("transport|SO2|Work loss days", US_national_yearly!$D:$AM, 10, FALSE), 1)</f>
        <v>0.10298524901193894</v>
      </c>
      <c r="G15" s="7">
        <f>$B15 * IFERROR(VLOOKUP("transport|SO2|Work loss days", US_national_yearly!$D:$AM, 15, FALSE) / VLOOKUP("transport|SO2|Work loss days", US_national_yearly!$D:$AM, 10, FALSE), 1)</f>
        <v>0.103415633678985</v>
      </c>
      <c r="H15" s="7">
        <f>$B15 * IFERROR(VLOOKUP("transport|SO2|Work loss days", US_national_yearly!$D:$AM, 16, FALSE) / VLOOKUP("transport|SO2|Work loss days", US_national_yearly!$D:$AM, 10, FALSE), 1)</f>
        <v>0.10384601834603104</v>
      </c>
      <c r="I15" s="7">
        <f>$B15 * IFERROR(VLOOKUP("transport|SO2|Work loss days", US_national_yearly!$D:$AM, 17, FALSE) / VLOOKUP("transport|SO2|Work loss days", US_national_yearly!$D:$AM, 10, FALSE), 1)</f>
        <v>0.10447561333894601</v>
      </c>
      <c r="J15" s="7">
        <f>$B15 * IFERROR(VLOOKUP("transport|SO2|Work loss days", US_national_yearly!$D:$AM, 18, FALSE) / VLOOKUP("transport|SO2|Work loss days", US_national_yearly!$D:$AM, 10, FALSE), 1)</f>
        <v>0.10510520833186095</v>
      </c>
      <c r="K15" s="7">
        <f>$B15 * IFERROR(VLOOKUP("transport|SO2|Work loss days", US_national_yearly!$D:$AM, 19, FALSE) / VLOOKUP("transport|SO2|Work loss days", US_national_yearly!$D:$AM, 10, FALSE), 1)</f>
        <v>0.10573480332477592</v>
      </c>
      <c r="L15" s="7">
        <f>$B15 * IFERROR(VLOOKUP("transport|SO2|Work loss days", US_national_yearly!$D:$AM, 20, FALSE) / VLOOKUP("transport|SO2|Work loss days", US_national_yearly!$D:$AM, 10, FALSE), 1)</f>
        <v>0.10636439831769089</v>
      </c>
      <c r="M15" s="7">
        <f>$B15 * IFERROR(VLOOKUP("transport|SO2|Work loss days", US_national_yearly!$D:$AM, 21, FALSE) / VLOOKUP("transport|SO2|Work loss days", US_national_yearly!$D:$AM, 10, FALSE), 1)</f>
        <v>0.10699399331060586</v>
      </c>
      <c r="N15" s="7">
        <f>$B15 * IFERROR(VLOOKUP("transport|SO2|Work loss days", US_national_yearly!$D:$AM, 22, FALSE) / VLOOKUP("transport|SO2|Work loss days", US_national_yearly!$D:$AM, 10, FALSE), 1)</f>
        <v>0.10778340340548861</v>
      </c>
      <c r="O15" s="7">
        <f>$B15 * IFERROR(VLOOKUP("transport|SO2|Work loss days", US_national_yearly!$D:$AM, 23, FALSE) / VLOOKUP("transport|SO2|Work loss days", US_national_yearly!$D:$AM, 10, FALSE), 1)</f>
        <v>0.10857281350037139</v>
      </c>
      <c r="P15" s="7">
        <f>$B15 * IFERROR(VLOOKUP("transport|SO2|Work loss days", US_national_yearly!$D:$AM, 24, FALSE) / VLOOKUP("transport|SO2|Work loss days", US_national_yearly!$D:$AM, 10, FALSE), 1)</f>
        <v>0.10936222359525413</v>
      </c>
      <c r="Q15" s="7">
        <f>$B15 * IFERROR(VLOOKUP("transport|SO2|Work loss days", US_national_yearly!$D:$AM, 25, FALSE) / VLOOKUP("transport|SO2|Work loss days", US_national_yearly!$D:$AM, 10, FALSE), 1)</f>
        <v>0.11015163369013689</v>
      </c>
      <c r="R15" s="7">
        <f>$B15 * IFERROR(VLOOKUP("transport|SO2|Work loss days", US_national_yearly!$D:$AM, 26, FALSE) / VLOOKUP("transport|SO2|Work loss days", US_national_yearly!$D:$AM, 10, FALSE), 1)</f>
        <v>0.11094104378501966</v>
      </c>
      <c r="S15" s="7">
        <f>$B15 * IFERROR(VLOOKUP("transport|SO2|Work loss days", US_national_yearly!$D:$AM, 27, FALSE) / VLOOKUP("transport|SO2|Work loss days", US_national_yearly!$D:$AM, 10, FALSE), 1)</f>
        <v>0.1118232069633993</v>
      </c>
      <c r="T15" s="7">
        <f>$B15 * IFERROR(VLOOKUP("transport|SO2|Work loss days", US_national_yearly!$D:$AM, 28, FALSE) / VLOOKUP("transport|SO2|Work loss days", US_national_yearly!$D:$AM, 10, FALSE), 1)</f>
        <v>0.11270537014177896</v>
      </c>
      <c r="U15" s="7">
        <f>$B15 * IFERROR(VLOOKUP("transport|SO2|Work loss days", US_national_yearly!$D:$AM, 29, FALSE) / VLOOKUP("transport|SO2|Work loss days", US_national_yearly!$D:$AM, 10, FALSE), 1)</f>
        <v>0.11358753332015861</v>
      </c>
      <c r="V15" s="7">
        <f>$B15 * IFERROR(VLOOKUP("transport|SO2|Work loss days", US_national_yearly!$D:$AM, 30, FALSE) / VLOOKUP("transport|SO2|Work loss days", US_national_yearly!$D:$AM, 10, FALSE), 1)</f>
        <v>0.11446969649853826</v>
      </c>
      <c r="W15" s="7">
        <f>$B15 * IFERROR(VLOOKUP("transport|SO2|Work loss days", US_national_yearly!$D:$AM, 31, FALSE) / VLOOKUP("transport|SO2|Work loss days", US_national_yearly!$D:$AM, 10, FALSE), 1)</f>
        <v>0.11535185967691793</v>
      </c>
      <c r="X15" s="7">
        <f>$B15 * IFERROR(VLOOKUP("transport|SO2|Work loss days", US_national_yearly!$D:$AM, 32, FALSE) / VLOOKUP("transport|SO2|Work loss days", US_national_yearly!$D:$AM, 10, FALSE), 1)</f>
        <v>0.11614392061671613</v>
      </c>
      <c r="Y15" s="7">
        <f>$B15 * IFERROR(VLOOKUP("transport|SO2|Work loss days", US_national_yearly!$D:$AM, 33, FALSE) / VLOOKUP("transport|SO2|Work loss days", US_national_yearly!$D:$AM, 10, FALSE), 1)</f>
        <v>0.11693598155651436</v>
      </c>
      <c r="Z15" s="7">
        <f>$B15 * IFERROR(VLOOKUP("transport|SO2|Work loss days", US_national_yearly!$D:$AM, 34, FALSE) / VLOOKUP("transport|SO2|Work loss days", US_national_yearly!$D:$AM, 10, FALSE), 1)</f>
        <v>0.11772804249631258</v>
      </c>
      <c r="AA15" s="7">
        <f>$B15 * IFERROR(VLOOKUP("transport|SO2|Work loss days", US_national_yearly!$D:$AM, 35, FALSE) / VLOOKUP("transport|SO2|Work loss days", US_national_yearly!$D:$AM, 10, FALSE), 1)</f>
        <v>0.1185201034361108</v>
      </c>
      <c r="AB15" s="7">
        <f>$B15 * IFERROR(VLOOKUP("transport|SO2|Work loss days", US_national_yearly!$D:$AM, 36, FALSE) / VLOOKUP("transport|SO2|Work loss days", US_national_yearly!$D:$AM, 10, FALSE), 1)</f>
        <v>0.11931216437590904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2.3308099886258654E-4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2.4013026083364268E-4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2.4717952280469882E-4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2.5422878477575497E-4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2.6127804674681111E-4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2.6803056943503769E-4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2.7478309212326433E-4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2.8056868632377524E-4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2.8635428052428615E-4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2.9213987472479706E-4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2.9792546892530803E-4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3.0371106312581888E-4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3.0759766452938107E-4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3.1148426593294326E-4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3.1537086733650544E-4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3.1925746874006758E-4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3.2314407014362982E-4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3.2518814575562514E-4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3.2723222136762042E-4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3.2927629697961574E-4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3.3132037259161107E-4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3.3336444820360639E-4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3.34736703733916E-4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3.3610895926422562E-4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3.3748121479453523E-4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3.3885347032484484E-4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3.4022572585515445E-4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1.181559349370829E-2</v>
      </c>
      <c r="C2" s="7">
        <f>$B2 * IFERROR(VLOOKUP("electricity|PM25|Premature mortality", US_national_yearly!$D:$AM, 11, FALSE) / VLOOKUP("electricity|PM25|Premature mortality", US_national_yearly!$D:$AM, 10, FALSE), 1)</f>
        <v>1.196194424373429E-2</v>
      </c>
      <c r="D2" s="7">
        <f>$B2 * IFERROR(VLOOKUP("electricity|PM25|Premature mortality", US_national_yearly!$D:$AM, 12, FALSE) / VLOOKUP("electricity|PM25|Premature mortality", US_national_yearly!$D:$AM, 10, FALSE), 1)</f>
        <v>1.210829499376029E-2</v>
      </c>
      <c r="E2" s="7">
        <f>$B2 * IFERROR(VLOOKUP("electricity|PM25|Premature mortality", US_national_yearly!$D:$AM, 13, FALSE) / VLOOKUP("electricity|PM25|Premature mortality", US_national_yearly!$D:$AM, 10, FALSE), 1)</f>
        <v>1.2254645743786289E-2</v>
      </c>
      <c r="F2" s="7">
        <f>$B2 * IFERROR(VLOOKUP("electricity|PM25|Premature mortality", US_national_yearly!$D:$AM, 14, FALSE) / VLOOKUP("electricity|PM25|Premature mortality", US_national_yearly!$D:$AM, 10, FALSE), 1)</f>
        <v>1.2400996493812292E-2</v>
      </c>
      <c r="G2" s="7">
        <f>$B2 * IFERROR(VLOOKUP("electricity|PM25|Premature mortality", US_national_yearly!$D:$AM, 15, FALSE) / VLOOKUP("electricity|PM25|Premature mortality", US_national_yearly!$D:$AM, 10, FALSE), 1)</f>
        <v>1.2688437150041386E-2</v>
      </c>
      <c r="H2" s="7">
        <f>$B2 * IFERROR(VLOOKUP("electricity|PM25|Premature mortality", US_national_yearly!$D:$AM, 16, FALSE) / VLOOKUP("electricity|PM25|Premature mortality", US_national_yearly!$D:$AM, 10, FALSE), 1)</f>
        <v>1.2975877806270483E-2</v>
      </c>
      <c r="I2" s="7">
        <f>$B2 * IFERROR(VLOOKUP("electricity|PM25|Premature mortality", US_national_yearly!$D:$AM, 17, FALSE) / VLOOKUP("electricity|PM25|Premature mortality", US_national_yearly!$D:$AM, 10, FALSE), 1)</f>
        <v>1.3169011624818892E-2</v>
      </c>
      <c r="J2" s="7">
        <f>$B2 * IFERROR(VLOOKUP("electricity|PM25|Premature mortality", US_national_yearly!$D:$AM, 18, FALSE) / VLOOKUP("electricity|PM25|Premature mortality", US_national_yearly!$D:$AM, 10, FALSE), 1)</f>
        <v>1.3362145443367307E-2</v>
      </c>
      <c r="K2" s="7">
        <f>$B2 * IFERROR(VLOOKUP("electricity|PM25|Premature mortality", US_national_yearly!$D:$AM, 19, FALSE) / VLOOKUP("electricity|PM25|Premature mortality", US_national_yearly!$D:$AM, 10, FALSE), 1)</f>
        <v>1.3555279261915716E-2</v>
      </c>
      <c r="L2" s="7">
        <f>$B2 * IFERROR(VLOOKUP("electricity|PM25|Premature mortality", US_national_yearly!$D:$AM, 20, FALSE) / VLOOKUP("electricity|PM25|Premature mortality", US_national_yearly!$D:$AM, 10, FALSE), 1)</f>
        <v>1.3748413080464131E-2</v>
      </c>
      <c r="M2" s="7">
        <f>$B2 * IFERROR(VLOOKUP("electricity|PM25|Premature mortality", US_national_yearly!$D:$AM, 21, FALSE) / VLOOKUP("electricity|PM25|Premature mortality", US_national_yearly!$D:$AM, 10, FALSE), 1)</f>
        <v>1.3941546899012541E-2</v>
      </c>
      <c r="N2" s="7">
        <f>$B2 * IFERROR(VLOOKUP("electricity|PM25|Premature mortality", US_national_yearly!$D:$AM, 22, FALSE) / VLOOKUP("electricity|PM25|Premature mortality", US_national_yearly!$D:$AM, 10, FALSE), 1)</f>
        <v>1.409549641833072E-2</v>
      </c>
      <c r="O2" s="7">
        <f>$B2 * IFERROR(VLOOKUP("electricity|PM25|Premature mortality", US_national_yearly!$D:$AM, 23, FALSE) / VLOOKUP("electricity|PM25|Premature mortality", US_national_yearly!$D:$AM, 10, FALSE), 1)</f>
        <v>1.4249445937648894E-2</v>
      </c>
      <c r="P2" s="7">
        <f>$B2 * IFERROR(VLOOKUP("electricity|PM25|Premature mortality", US_national_yearly!$D:$AM, 24, FALSE) / VLOOKUP("electricity|PM25|Premature mortality", US_national_yearly!$D:$AM, 10, FALSE), 1)</f>
        <v>1.4403395456967073E-2</v>
      </c>
      <c r="Q2" s="7">
        <f>$B2 * IFERROR(VLOOKUP("electricity|PM25|Premature mortality", US_national_yearly!$D:$AM, 25, FALSE) / VLOOKUP("electricity|PM25|Premature mortality", US_national_yearly!$D:$AM, 10, FALSE), 1)</f>
        <v>1.4557344976285247E-2</v>
      </c>
      <c r="R2" s="7">
        <f>$B2 * IFERROR(VLOOKUP("electricity|PM25|Premature mortality", US_national_yearly!$D:$AM, 26, FALSE) / VLOOKUP("electricity|PM25|Premature mortality", US_national_yearly!$D:$AM, 10, FALSE), 1)</f>
        <v>1.4711294495603426E-2</v>
      </c>
      <c r="S2" s="7">
        <f>$B2 * IFERROR(VLOOKUP("electricity|PM25|Premature mortality", US_national_yearly!$D:$AM, 27, FALSE) / VLOOKUP("electricity|PM25|Premature mortality", US_national_yearly!$D:$AM, 10, FALSE), 1)</f>
        <v>1.4799385235687938E-2</v>
      </c>
      <c r="T2" s="7">
        <f>$B2 * IFERROR(VLOOKUP("electricity|PM25|Premature mortality", US_national_yearly!$D:$AM, 28, FALSE) / VLOOKUP("electricity|PM25|Premature mortality", US_national_yearly!$D:$AM, 10, FALSE), 1)</f>
        <v>1.4887475975772448E-2</v>
      </c>
      <c r="U2" s="7">
        <f>$B2 * IFERROR(VLOOKUP("electricity|PM25|Premature mortality", US_national_yearly!$D:$AM, 29, FALSE) / VLOOKUP("electricity|PM25|Premature mortality", US_national_yearly!$D:$AM, 10, FALSE), 1)</f>
        <v>1.4975566715856963E-2</v>
      </c>
      <c r="V2" s="7">
        <f>$B2 * IFERROR(VLOOKUP("electricity|PM25|Premature mortality", US_national_yearly!$D:$AM, 30, FALSE) / VLOOKUP("electricity|PM25|Premature mortality", US_national_yearly!$D:$AM, 10, FALSE), 1)</f>
        <v>1.5063657455941473E-2</v>
      </c>
      <c r="W2" s="7">
        <f>$B2 * IFERROR(VLOOKUP("electricity|PM25|Premature mortality", US_national_yearly!$D:$AM, 31, FALSE) / VLOOKUP("electricity|PM25|Premature mortality", US_national_yearly!$D:$AM, 10, FALSE), 1)</f>
        <v>1.5151748196025987E-2</v>
      </c>
      <c r="X2" s="7">
        <f>$B2 * IFERROR(VLOOKUP("electricity|PM25|Premature mortality", US_national_yearly!$D:$AM, 32, FALSE) / VLOOKUP("electricity|PM25|Premature mortality", US_national_yearly!$D:$AM, 10, FALSE), 1)</f>
        <v>1.5176219234062614E-2</v>
      </c>
      <c r="Y2" s="7">
        <f>$B2 * IFERROR(VLOOKUP("electricity|PM25|Premature mortality", US_national_yearly!$D:$AM, 33, FALSE) / VLOOKUP("electricity|PM25|Premature mortality", US_national_yearly!$D:$AM, 10, FALSE), 1)</f>
        <v>1.5200690272099244E-2</v>
      </c>
      <c r="Z2" s="7">
        <f>$B2 * IFERROR(VLOOKUP("electricity|PM25|Premature mortality", US_national_yearly!$D:$AM, 34, FALSE) / VLOOKUP("electricity|PM25|Premature mortality", US_national_yearly!$D:$AM, 10, FALSE), 1)</f>
        <v>1.5225161310135871E-2</v>
      </c>
      <c r="AA2" s="7">
        <f>$B2 * IFERROR(VLOOKUP("electricity|PM25|Premature mortality", US_national_yearly!$D:$AM, 35, FALSE) / VLOOKUP("electricity|PM25|Premature mortality", US_national_yearly!$D:$AM, 10, FALSE), 1)</f>
        <v>1.5249632348172502E-2</v>
      </c>
      <c r="AB2" s="7">
        <f>$B2 * IFERROR(VLOOKUP("electricity|PM25|Premature mortality", US_national_yearly!$D:$AM, 36, FALSE) / VLOOKUP("electricity|PM25|Premature mortality", US_national_yearly!$D:$AM, 10, FALSE), 1)</f>
        <v>1.5274103386209131E-2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3.3982230334495822E-5</v>
      </c>
      <c r="C3" s="7">
        <f>$B3 * IFERROR(VLOOKUP("electricity|PM25|Infant mortality", US_national_yearly!$D:$AM, 11, FALSE) / VLOOKUP("electricity|PM25|Infant mortality", US_national_yearly!$D:$AM, 10, FALSE), 1)</f>
        <v>3.36861432471889E-5</v>
      </c>
      <c r="D3" s="7">
        <f>$B3 * IFERROR(VLOOKUP("electricity|PM25|Infant mortality", US_national_yearly!$D:$AM, 12, FALSE) / VLOOKUP("electricity|PM25|Infant mortality", US_national_yearly!$D:$AM, 10, FALSE), 1)</f>
        <v>3.3390056159881979E-5</v>
      </c>
      <c r="E3" s="7">
        <f>$B3 * IFERROR(VLOOKUP("electricity|PM25|Infant mortality", US_national_yearly!$D:$AM, 13, FALSE) / VLOOKUP("electricity|PM25|Infant mortality", US_national_yearly!$D:$AM, 10, FALSE), 1)</f>
        <v>3.3093969072575057E-5</v>
      </c>
      <c r="F3" s="7">
        <f>$B3 * IFERROR(VLOOKUP("electricity|PM25|Infant mortality", US_national_yearly!$D:$AM, 14, FALSE) / VLOOKUP("electricity|PM25|Infant mortality", US_national_yearly!$D:$AM, 10, FALSE), 1)</f>
        <v>3.2797881985268136E-5</v>
      </c>
      <c r="G3" s="7">
        <f>$B3 * IFERROR(VLOOKUP("electricity|PM25|Infant mortality", US_national_yearly!$D:$AM, 15, FALSE) / VLOOKUP("electricity|PM25|Infant mortality", US_national_yearly!$D:$AM, 10, FALSE), 1)</f>
        <v>2.1750533074610502E-5</v>
      </c>
      <c r="H3" s="7">
        <f>$B3 * IFERROR(VLOOKUP("electricity|PM25|Infant mortality", US_national_yearly!$D:$AM, 16, FALSE) / VLOOKUP("electricity|PM25|Infant mortality", US_national_yearly!$D:$AM, 10, FALSE), 1)</f>
        <v>1.070318416395287E-5</v>
      </c>
      <c r="I3" s="7">
        <f>$B3 * IFERROR(VLOOKUP("electricity|PM25|Infant mortality", US_national_yearly!$D:$AM, 17, FALSE) / VLOOKUP("electricity|PM25|Infant mortality", US_national_yearly!$D:$AM, 10, FALSE), 1)</f>
        <v>1.0627614779295905E-5</v>
      </c>
      <c r="J3" s="7">
        <f>$B3 * IFERROR(VLOOKUP("electricity|PM25|Infant mortality", US_national_yearly!$D:$AM, 18, FALSE) / VLOOKUP("electricity|PM25|Infant mortality", US_national_yearly!$D:$AM, 10, FALSE), 1)</f>
        <v>1.0552045394638945E-5</v>
      </c>
      <c r="K3" s="7">
        <f>$B3 * IFERROR(VLOOKUP("electricity|PM25|Infant mortality", US_national_yearly!$D:$AM, 19, FALSE) / VLOOKUP("electricity|PM25|Infant mortality", US_national_yearly!$D:$AM, 10, FALSE), 1)</f>
        <v>1.047647600998198E-5</v>
      </c>
      <c r="L3" s="7">
        <f>$B3 * IFERROR(VLOOKUP("electricity|PM25|Infant mortality", US_national_yearly!$D:$AM, 20, FALSE) / VLOOKUP("electricity|PM25|Infant mortality", US_national_yearly!$D:$AM, 10, FALSE), 1)</f>
        <v>1.0400906625325018E-5</v>
      </c>
      <c r="M3" s="7">
        <f>$B3 * IFERROR(VLOOKUP("electricity|PM25|Infant mortality", US_national_yearly!$D:$AM, 21, FALSE) / VLOOKUP("electricity|PM25|Infant mortality", US_national_yearly!$D:$AM, 10, FALSE), 1)</f>
        <v>1.0325337240668055E-5</v>
      </c>
      <c r="N3" s="7">
        <f>$B3 * IFERROR(VLOOKUP("electricity|PM25|Infant mortality", US_national_yearly!$D:$AM, 22, FALSE) / VLOOKUP("electricity|PM25|Infant mortality", US_national_yearly!$D:$AM, 10, FALSE), 1)</f>
        <v>1.0276736093160691E-5</v>
      </c>
      <c r="O3" s="7">
        <f>$B3 * IFERROR(VLOOKUP("electricity|PM25|Infant mortality", US_national_yearly!$D:$AM, 23, FALSE) / VLOOKUP("electricity|PM25|Infant mortality", US_national_yearly!$D:$AM, 10, FALSE), 1)</f>
        <v>1.0228134945653326E-5</v>
      </c>
      <c r="P3" s="7">
        <f>$B3 * IFERROR(VLOOKUP("electricity|PM25|Infant mortality", US_national_yearly!$D:$AM, 24, FALSE) / VLOOKUP("electricity|PM25|Infant mortality", US_national_yearly!$D:$AM, 10, FALSE), 1)</f>
        <v>1.017953379814596E-5</v>
      </c>
      <c r="Q3" s="7">
        <f>$B3 * IFERROR(VLOOKUP("electricity|PM25|Infant mortality", US_national_yearly!$D:$AM, 25, FALSE) / VLOOKUP("electricity|PM25|Infant mortality", US_national_yearly!$D:$AM, 10, FALSE), 1)</f>
        <v>1.0130932650638595E-5</v>
      </c>
      <c r="R3" s="7">
        <f>$B3 * IFERROR(VLOOKUP("electricity|PM25|Infant mortality", US_national_yearly!$D:$AM, 26, FALSE) / VLOOKUP("electricity|PM25|Infant mortality", US_national_yearly!$D:$AM, 10, FALSE), 1)</f>
        <v>1.0082331503131228E-5</v>
      </c>
      <c r="S3" s="7">
        <f>$B3 * IFERROR(VLOOKUP("electricity|PM25|Infant mortality", US_national_yearly!$D:$AM, 27, FALSE) / VLOOKUP("electricity|PM25|Infant mortality", US_national_yearly!$D:$AM, 10, FALSE), 1)</f>
        <v>1.0024106242351028E-5</v>
      </c>
      <c r="T3" s="7">
        <f>$B3 * IFERROR(VLOOKUP("electricity|PM25|Infant mortality", US_national_yearly!$D:$AM, 28, FALSE) / VLOOKUP("electricity|PM25|Infant mortality", US_national_yearly!$D:$AM, 10, FALSE), 1)</f>
        <v>9.96588098157083E-6</v>
      </c>
      <c r="U3" s="7">
        <f>$B3 * IFERROR(VLOOKUP("electricity|PM25|Infant mortality", US_national_yearly!$D:$AM, 29, FALSE) / VLOOKUP("electricity|PM25|Infant mortality", US_national_yearly!$D:$AM, 10, FALSE), 1)</f>
        <v>9.9076557207906319E-6</v>
      </c>
      <c r="V3" s="7">
        <f>$B3 * IFERROR(VLOOKUP("electricity|PM25|Infant mortality", US_national_yearly!$D:$AM, 30, FALSE) / VLOOKUP("electricity|PM25|Infant mortality", US_national_yearly!$D:$AM, 10, FALSE), 1)</f>
        <v>9.8494304600104321E-6</v>
      </c>
      <c r="W3" s="7">
        <f>$B3 * IFERROR(VLOOKUP("electricity|PM25|Infant mortality", US_national_yearly!$D:$AM, 31, FALSE) / VLOOKUP("electricity|PM25|Infant mortality", US_national_yearly!$D:$AM, 10, FALSE), 1)</f>
        <v>9.791205199230234E-6</v>
      </c>
      <c r="X3" s="7">
        <f>$B3 * IFERROR(VLOOKUP("electricity|PM25|Infant mortality", US_national_yearly!$D:$AM, 32, FALSE) / VLOOKUP("electricity|PM25|Infant mortality", US_national_yearly!$D:$AM, 10, FALSE), 1)</f>
        <v>9.7310366619699963E-6</v>
      </c>
      <c r="Y3" s="7">
        <f>$B3 * IFERROR(VLOOKUP("electricity|PM25|Infant mortality", US_national_yearly!$D:$AM, 33, FALSE) / VLOOKUP("electricity|PM25|Infant mortality", US_national_yearly!$D:$AM, 10, FALSE), 1)</f>
        <v>9.6708681247097586E-6</v>
      </c>
      <c r="Z3" s="7">
        <f>$B3 * IFERROR(VLOOKUP("electricity|PM25|Infant mortality", US_national_yearly!$D:$AM, 34, FALSE) / VLOOKUP("electricity|PM25|Infant mortality", US_national_yearly!$D:$AM, 10, FALSE), 1)</f>
        <v>9.6106995874495208E-6</v>
      </c>
      <c r="AA3" s="7">
        <f>$B3 * IFERROR(VLOOKUP("electricity|PM25|Infant mortality", US_national_yearly!$D:$AM, 35, FALSE) / VLOOKUP("electricity|PM25|Infant mortality", US_national_yearly!$D:$AM, 10, FALSE), 1)</f>
        <v>9.5505310501892831E-6</v>
      </c>
      <c r="AB3" s="7">
        <f>$B3 * IFERROR(VLOOKUP("electricity|PM25|Infant mortality", US_national_yearly!$D:$AM, 36, FALSE) / VLOOKUP("electricity|PM25|Infant mortality", US_national_yearly!$D:$AM, 10, FALSE), 1)</f>
        <v>9.4903625129290454E-6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2.9464499555661178E-2</v>
      </c>
      <c r="C6" s="7">
        <f>$B6 * IFERROR(VLOOKUP("electricity|PM25|Asthma symptoms cough", US_national_yearly!$D:$AM, 11, FALSE) / VLOOKUP("electricity|PM25|Asthma symptoms cough", US_national_yearly!$D:$AM, 10, FALSE), 1)</f>
        <v>2.9464499555661178E-2</v>
      </c>
      <c r="D6" s="7">
        <f>$B6 * IFERROR(VLOOKUP("electricity|PM25|Asthma symptoms cough", US_national_yearly!$D:$AM, 12, FALSE) / VLOOKUP("electricity|PM25|Asthma symptoms cough", US_national_yearly!$D:$AM, 10, FALSE), 1)</f>
        <v>2.9464499555661178E-2</v>
      </c>
      <c r="E6" s="7">
        <f>$B6 * IFERROR(VLOOKUP("electricity|PM25|Asthma symptoms cough", US_national_yearly!$D:$AM, 13, FALSE) / VLOOKUP("electricity|PM25|Asthma symptoms cough", US_national_yearly!$D:$AM, 10, FALSE), 1)</f>
        <v>2.9464499555661178E-2</v>
      </c>
      <c r="F6" s="7">
        <f>$B6 * IFERROR(VLOOKUP("electricity|PM25|Asthma symptoms cough", US_national_yearly!$D:$AM, 14, FALSE) / VLOOKUP("electricity|PM25|Asthma symptoms cough", US_national_yearly!$D:$AM, 10, FALSE), 1)</f>
        <v>2.9464499555661178E-2</v>
      </c>
      <c r="G6" s="7">
        <f>$B6 * IFERROR(VLOOKUP("electricity|PM25|Asthma symptoms cough", US_national_yearly!$D:$AM, 15, FALSE) / VLOOKUP("electricity|PM25|Asthma symptoms cough", US_national_yearly!$D:$AM, 10, FALSE), 1)</f>
        <v>2.9464499555661178E-2</v>
      </c>
      <c r="H6" s="7">
        <f>$B6 * IFERROR(VLOOKUP("electricity|PM25|Asthma symptoms cough", US_national_yearly!$D:$AM, 16, FALSE) / VLOOKUP("electricity|PM25|Asthma symptoms cough", US_national_yearly!$D:$AM, 10, FALSE), 1)</f>
        <v>2.9464499555661178E-2</v>
      </c>
      <c r="I6" s="7">
        <f>$B6 * IFERROR(VLOOKUP("electricity|PM25|Asthma symptoms cough", US_national_yearly!$D:$AM, 17, FALSE) / VLOOKUP("electricity|PM25|Asthma symptoms cough", US_national_yearly!$D:$AM, 10, FALSE), 1)</f>
        <v>2.9464499555661178E-2</v>
      </c>
      <c r="J6" s="7">
        <f>$B6 * IFERROR(VLOOKUP("electricity|PM25|Asthma symptoms cough", US_national_yearly!$D:$AM, 18, FALSE) / VLOOKUP("electricity|PM25|Asthma symptoms cough", US_national_yearly!$D:$AM, 10, FALSE), 1)</f>
        <v>2.9464499555661178E-2</v>
      </c>
      <c r="K6" s="7">
        <f>$B6 * IFERROR(VLOOKUP("electricity|PM25|Asthma symptoms cough", US_national_yearly!$D:$AM, 19, FALSE) / VLOOKUP("electricity|PM25|Asthma symptoms cough", US_national_yearly!$D:$AM, 10, FALSE), 1)</f>
        <v>2.9464499555661178E-2</v>
      </c>
      <c r="L6" s="7">
        <f>$B6 * IFERROR(VLOOKUP("electricity|PM25|Asthma symptoms cough", US_national_yearly!$D:$AM, 20, FALSE) / VLOOKUP("electricity|PM25|Asthma symptoms cough", US_national_yearly!$D:$AM, 10, FALSE), 1)</f>
        <v>2.9464499555661178E-2</v>
      </c>
      <c r="M6" s="7">
        <f>$B6 * IFERROR(VLOOKUP("electricity|PM25|Asthma symptoms cough", US_national_yearly!$D:$AM, 21, FALSE) / VLOOKUP("electricity|PM25|Asthma symptoms cough", US_national_yearly!$D:$AM, 10, FALSE), 1)</f>
        <v>2.9464499555661178E-2</v>
      </c>
      <c r="N6" s="7">
        <f>$B6 * IFERROR(VLOOKUP("electricity|PM25|Asthma symptoms cough", US_national_yearly!$D:$AM, 22, FALSE) / VLOOKUP("electricity|PM25|Asthma symptoms cough", US_national_yearly!$D:$AM, 10, FALSE), 1)</f>
        <v>2.9464499555661178E-2</v>
      </c>
      <c r="O6" s="7">
        <f>$B6 * IFERROR(VLOOKUP("electricity|PM25|Asthma symptoms cough", US_national_yearly!$D:$AM, 23, FALSE) / VLOOKUP("electricity|PM25|Asthma symptoms cough", US_national_yearly!$D:$AM, 10, FALSE), 1)</f>
        <v>2.9464499555661178E-2</v>
      </c>
      <c r="P6" s="7">
        <f>$B6 * IFERROR(VLOOKUP("electricity|PM25|Asthma symptoms cough", US_national_yearly!$D:$AM, 24, FALSE) / VLOOKUP("electricity|PM25|Asthma symptoms cough", US_national_yearly!$D:$AM, 10, FALSE), 1)</f>
        <v>2.9464499555661178E-2</v>
      </c>
      <c r="Q6" s="7">
        <f>$B6 * IFERROR(VLOOKUP("electricity|PM25|Asthma symptoms cough", US_national_yearly!$D:$AM, 25, FALSE) / VLOOKUP("electricity|PM25|Asthma symptoms cough", US_national_yearly!$D:$AM, 10, FALSE), 1)</f>
        <v>2.9464499555661178E-2</v>
      </c>
      <c r="R6" s="7">
        <f>$B6 * IFERROR(VLOOKUP("electricity|PM25|Asthma symptoms cough", US_national_yearly!$D:$AM, 26, FALSE) / VLOOKUP("electricity|PM25|Asthma symptoms cough", US_national_yearly!$D:$AM, 10, FALSE), 1)</f>
        <v>2.9464499555661178E-2</v>
      </c>
      <c r="S6" s="7">
        <f>$B6 * IFERROR(VLOOKUP("electricity|PM25|Asthma symptoms cough", US_national_yearly!$D:$AM, 27, FALSE) / VLOOKUP("electricity|PM25|Asthma symptoms cough", US_national_yearly!$D:$AM, 10, FALSE), 1)</f>
        <v>2.9464499555661178E-2</v>
      </c>
      <c r="T6" s="7">
        <f>$B6 * IFERROR(VLOOKUP("electricity|PM25|Asthma symptoms cough", US_national_yearly!$D:$AM, 28, FALSE) / VLOOKUP("electricity|PM25|Asthma symptoms cough", US_national_yearly!$D:$AM, 10, FALSE), 1)</f>
        <v>2.9464499555661178E-2</v>
      </c>
      <c r="U6" s="7">
        <f>$B6 * IFERROR(VLOOKUP("electricity|PM25|Asthma symptoms cough", US_national_yearly!$D:$AM, 29, FALSE) / VLOOKUP("electricity|PM25|Asthma symptoms cough", US_national_yearly!$D:$AM, 10, FALSE), 1)</f>
        <v>2.9464499555661178E-2</v>
      </c>
      <c r="V6" s="7">
        <f>$B6 * IFERROR(VLOOKUP("electricity|PM25|Asthma symptoms cough", US_national_yearly!$D:$AM, 30, FALSE) / VLOOKUP("electricity|PM25|Asthma symptoms cough", US_national_yearly!$D:$AM, 10, FALSE), 1)</f>
        <v>2.9464499555661178E-2</v>
      </c>
      <c r="W6" s="7">
        <f>$B6 * IFERROR(VLOOKUP("electricity|PM25|Asthma symptoms cough", US_national_yearly!$D:$AM, 31, FALSE) / VLOOKUP("electricity|PM25|Asthma symptoms cough", US_national_yearly!$D:$AM, 10, FALSE), 1)</f>
        <v>2.9464499555661178E-2</v>
      </c>
      <c r="X6" s="7">
        <f>$B6 * IFERROR(VLOOKUP("electricity|PM25|Asthma symptoms cough", US_national_yearly!$D:$AM, 32, FALSE) / VLOOKUP("electricity|PM25|Asthma symptoms cough", US_national_yearly!$D:$AM, 10, FALSE), 1)</f>
        <v>2.9464499555661178E-2</v>
      </c>
      <c r="Y6" s="7">
        <f>$B6 * IFERROR(VLOOKUP("electricity|PM25|Asthma symptoms cough", US_national_yearly!$D:$AM, 33, FALSE) / VLOOKUP("electricity|PM25|Asthma symptoms cough", US_national_yearly!$D:$AM, 10, FALSE), 1)</f>
        <v>2.9464499555661178E-2</v>
      </c>
      <c r="Z6" s="7">
        <f>$B6 * IFERROR(VLOOKUP("electricity|PM25|Asthma symptoms cough", US_national_yearly!$D:$AM, 34, FALSE) / VLOOKUP("electricity|PM25|Asthma symptoms cough", US_national_yearly!$D:$AM, 10, FALSE), 1)</f>
        <v>2.9464499555661178E-2</v>
      </c>
      <c r="AA6" s="7">
        <f>$B6 * IFERROR(VLOOKUP("electricity|PM25|Asthma symptoms cough", US_national_yearly!$D:$AM, 35, FALSE) / VLOOKUP("electricity|PM25|Asthma symptoms cough", US_national_yearly!$D:$AM, 10, FALSE), 1)</f>
        <v>2.9464499555661178E-2</v>
      </c>
      <c r="AB6" s="7">
        <f>$B6 * IFERROR(VLOOKUP("electricity|PM25|Asthma symptoms cough", US_national_yearly!$D:$AM, 36, FALSE) / VLOOKUP("electricity|PM25|Asthma symptoms cough", US_national_yearly!$D:$AM, 10, FALSE), 1)</f>
        <v>2.9464499555661178E-2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3.9678160195083259E-2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3.9678160195083259E-2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3.9678160195083259E-2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3.9678160195083259E-2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3.9678160195083259E-2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3.9678160195083259E-2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3.9678160195083259E-2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3.9678160195083259E-2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3.9678160195083259E-2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3.9678160195083259E-2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3.9678160195083259E-2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3.9678160195083259E-2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3.9678160195083259E-2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3.9678160195083259E-2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3.9678160195083259E-2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3.9678160195083259E-2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3.9678160195083259E-2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3.9678160195083259E-2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3.9678160195083259E-2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3.9678160195083259E-2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3.9678160195083259E-2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3.9678160195083259E-2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3.9678160195083259E-2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3.9678160195083259E-2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3.9678160195083259E-2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3.9678160195083259E-2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3.9678160195083259E-2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6.0621732165448264E-2</v>
      </c>
      <c r="C8" s="7">
        <f>$B8 * IFERROR(VLOOKUP("electricity|PM25|Asthma symptoms wheeze", US_national_yearly!$D:$AM, 11, FALSE) / VLOOKUP("electricity|PM25|Asthma symptoms wheeze", US_national_yearly!$D:$AM, 10, FALSE), 1)</f>
        <v>6.0621732165448264E-2</v>
      </c>
      <c r="D8" s="7">
        <f>$B8 * IFERROR(VLOOKUP("electricity|PM25|Asthma symptoms wheeze", US_national_yearly!$D:$AM, 12, FALSE) / VLOOKUP("electricity|PM25|Asthma symptoms wheeze", US_national_yearly!$D:$AM, 10, FALSE), 1)</f>
        <v>6.0621732165448264E-2</v>
      </c>
      <c r="E8" s="7">
        <f>$B8 * IFERROR(VLOOKUP("electricity|PM25|Asthma symptoms wheeze", US_national_yearly!$D:$AM, 13, FALSE) / VLOOKUP("electricity|PM25|Asthma symptoms wheeze", US_national_yearly!$D:$AM, 10, FALSE), 1)</f>
        <v>6.0621732165448264E-2</v>
      </c>
      <c r="F8" s="7">
        <f>$B8 * IFERROR(VLOOKUP("electricity|PM25|Asthma symptoms wheeze", US_national_yearly!$D:$AM, 14, FALSE) / VLOOKUP("electricity|PM25|Asthma symptoms wheeze", US_national_yearly!$D:$AM, 10, FALSE), 1)</f>
        <v>6.0621732165448264E-2</v>
      </c>
      <c r="G8" s="7">
        <f>$B8 * IFERROR(VLOOKUP("electricity|PM25|Asthma symptoms wheeze", US_national_yearly!$D:$AM, 15, FALSE) / VLOOKUP("electricity|PM25|Asthma symptoms wheeze", US_national_yearly!$D:$AM, 10, FALSE), 1)</f>
        <v>6.0621732165448264E-2</v>
      </c>
      <c r="H8" s="7">
        <f>$B8 * IFERROR(VLOOKUP("electricity|PM25|Asthma symptoms wheeze", US_national_yearly!$D:$AM, 16, FALSE) / VLOOKUP("electricity|PM25|Asthma symptoms wheeze", US_national_yearly!$D:$AM, 10, FALSE), 1)</f>
        <v>6.0621732165448264E-2</v>
      </c>
      <c r="I8" s="7">
        <f>$B8 * IFERROR(VLOOKUP("electricity|PM25|Asthma symptoms wheeze", US_national_yearly!$D:$AM, 17, FALSE) / VLOOKUP("electricity|PM25|Asthma symptoms wheeze", US_national_yearly!$D:$AM, 10, FALSE), 1)</f>
        <v>6.0621732165448264E-2</v>
      </c>
      <c r="J8" s="7">
        <f>$B8 * IFERROR(VLOOKUP("electricity|PM25|Asthma symptoms wheeze", US_national_yearly!$D:$AM, 18, FALSE) / VLOOKUP("electricity|PM25|Asthma symptoms wheeze", US_national_yearly!$D:$AM, 10, FALSE), 1)</f>
        <v>6.0621732165448264E-2</v>
      </c>
      <c r="K8" s="7">
        <f>$B8 * IFERROR(VLOOKUP("electricity|PM25|Asthma symptoms wheeze", US_national_yearly!$D:$AM, 19, FALSE) / VLOOKUP("electricity|PM25|Asthma symptoms wheeze", US_national_yearly!$D:$AM, 10, FALSE), 1)</f>
        <v>6.0621732165448264E-2</v>
      </c>
      <c r="L8" s="7">
        <f>$B8 * IFERROR(VLOOKUP("electricity|PM25|Asthma symptoms wheeze", US_national_yearly!$D:$AM, 20, FALSE) / VLOOKUP("electricity|PM25|Asthma symptoms wheeze", US_national_yearly!$D:$AM, 10, FALSE), 1)</f>
        <v>6.0621732165448264E-2</v>
      </c>
      <c r="M8" s="7">
        <f>$B8 * IFERROR(VLOOKUP("electricity|PM25|Asthma symptoms wheeze", US_national_yearly!$D:$AM, 21, FALSE) / VLOOKUP("electricity|PM25|Asthma symptoms wheeze", US_national_yearly!$D:$AM, 10, FALSE), 1)</f>
        <v>6.0621732165448264E-2</v>
      </c>
      <c r="N8" s="7">
        <f>$B8 * IFERROR(VLOOKUP("electricity|PM25|Asthma symptoms wheeze", US_national_yearly!$D:$AM, 22, FALSE) / VLOOKUP("electricity|PM25|Asthma symptoms wheeze", US_national_yearly!$D:$AM, 10, FALSE), 1)</f>
        <v>6.0621732165448264E-2</v>
      </c>
      <c r="O8" s="7">
        <f>$B8 * IFERROR(VLOOKUP("electricity|PM25|Asthma symptoms wheeze", US_national_yearly!$D:$AM, 23, FALSE) / VLOOKUP("electricity|PM25|Asthma symptoms wheeze", US_national_yearly!$D:$AM, 10, FALSE), 1)</f>
        <v>6.0621732165448264E-2</v>
      </c>
      <c r="P8" s="7">
        <f>$B8 * IFERROR(VLOOKUP("electricity|PM25|Asthma symptoms wheeze", US_national_yearly!$D:$AM, 24, FALSE) / VLOOKUP("electricity|PM25|Asthma symptoms wheeze", US_national_yearly!$D:$AM, 10, FALSE), 1)</f>
        <v>6.0621732165448264E-2</v>
      </c>
      <c r="Q8" s="7">
        <f>$B8 * IFERROR(VLOOKUP("electricity|PM25|Asthma symptoms wheeze", US_national_yearly!$D:$AM, 25, FALSE) / VLOOKUP("electricity|PM25|Asthma symptoms wheeze", US_national_yearly!$D:$AM, 10, FALSE), 1)</f>
        <v>6.0621732165448264E-2</v>
      </c>
      <c r="R8" s="7">
        <f>$B8 * IFERROR(VLOOKUP("electricity|PM25|Asthma symptoms wheeze", US_national_yearly!$D:$AM, 26, FALSE) / VLOOKUP("electricity|PM25|Asthma symptoms wheeze", US_national_yearly!$D:$AM, 10, FALSE), 1)</f>
        <v>6.0621732165448264E-2</v>
      </c>
      <c r="S8" s="7">
        <f>$B8 * IFERROR(VLOOKUP("electricity|PM25|Asthma symptoms wheeze", US_national_yearly!$D:$AM, 27, FALSE) / VLOOKUP("electricity|PM25|Asthma symptoms wheeze", US_national_yearly!$D:$AM, 10, FALSE), 1)</f>
        <v>6.0621732165448264E-2</v>
      </c>
      <c r="T8" s="7">
        <f>$B8 * IFERROR(VLOOKUP("electricity|PM25|Asthma symptoms wheeze", US_national_yearly!$D:$AM, 28, FALSE) / VLOOKUP("electricity|PM25|Asthma symptoms wheeze", US_national_yearly!$D:$AM, 10, FALSE), 1)</f>
        <v>6.0621732165448264E-2</v>
      </c>
      <c r="U8" s="7">
        <f>$B8 * IFERROR(VLOOKUP("electricity|PM25|Asthma symptoms wheeze", US_national_yearly!$D:$AM, 29, FALSE) / VLOOKUP("electricity|PM25|Asthma symptoms wheeze", US_national_yearly!$D:$AM, 10, FALSE), 1)</f>
        <v>6.0621732165448264E-2</v>
      </c>
      <c r="V8" s="7">
        <f>$B8 * IFERROR(VLOOKUP("electricity|PM25|Asthma symptoms wheeze", US_national_yearly!$D:$AM, 30, FALSE) / VLOOKUP("electricity|PM25|Asthma symptoms wheeze", US_national_yearly!$D:$AM, 10, FALSE), 1)</f>
        <v>6.0621732165448264E-2</v>
      </c>
      <c r="W8" s="7">
        <f>$B8 * IFERROR(VLOOKUP("electricity|PM25|Asthma symptoms wheeze", US_national_yearly!$D:$AM, 31, FALSE) / VLOOKUP("electricity|PM25|Asthma symptoms wheeze", US_national_yearly!$D:$AM, 10, FALSE), 1)</f>
        <v>6.0621732165448264E-2</v>
      </c>
      <c r="X8" s="7">
        <f>$B8 * IFERROR(VLOOKUP("electricity|PM25|Asthma symptoms wheeze", US_national_yearly!$D:$AM, 32, FALSE) / VLOOKUP("electricity|PM25|Asthma symptoms wheeze", US_national_yearly!$D:$AM, 10, FALSE), 1)</f>
        <v>6.0621732165448264E-2</v>
      </c>
      <c r="Y8" s="7">
        <f>$B8 * IFERROR(VLOOKUP("electricity|PM25|Asthma symptoms wheeze", US_national_yearly!$D:$AM, 33, FALSE) / VLOOKUP("electricity|PM25|Asthma symptoms wheeze", US_national_yearly!$D:$AM, 10, FALSE), 1)</f>
        <v>6.0621732165448264E-2</v>
      </c>
      <c r="Z8" s="7">
        <f>$B8 * IFERROR(VLOOKUP("electricity|PM25|Asthma symptoms wheeze", US_national_yearly!$D:$AM, 34, FALSE) / VLOOKUP("electricity|PM25|Asthma symptoms wheeze", US_national_yearly!$D:$AM, 10, FALSE), 1)</f>
        <v>6.0621732165448264E-2</v>
      </c>
      <c r="AA8" s="7">
        <f>$B8 * IFERROR(VLOOKUP("electricity|PM25|Asthma symptoms wheeze", US_national_yearly!$D:$AM, 35, FALSE) / VLOOKUP("electricity|PM25|Asthma symptoms wheeze", US_national_yearly!$D:$AM, 10, FALSE), 1)</f>
        <v>6.0621732165448264E-2</v>
      </c>
      <c r="AB8" s="7">
        <f>$B8 * IFERROR(VLOOKUP("electricity|PM25|Asthma symptoms wheeze", US_national_yearly!$D:$AM, 36, FALSE) / VLOOKUP("electricity|PM25|Asthma symptoms wheeze", US_national_yearly!$D:$AM, 10, FALSE), 1)</f>
        <v>6.0621732165448264E-2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8.4204557386221212E-4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8.466733538242281E-4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8.5130113378624396E-4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8.5592891374826016E-4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8.6055669371027591E-4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8.6551756007539275E-4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8.7047842644050958E-4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8.7491045374098739E-4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8.7934248104146499E-4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8.8377450834194269E-4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8.8820653564242039E-4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8.926385629428982E-4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8.9562812273538965E-4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8.9861768252788132E-4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9.0160724232037288E-4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9.0459680211286433E-4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9.0758636190535599E-4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9.1037221353650619E-4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9.1315806516765606E-4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9.1594391679880615E-4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9.1872976842995624E-4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9.2151562006110611E-4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9.2427029679926316E-4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9.2702497353741998E-4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9.2977965027557681E-4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9.3253432701373364E-4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9.3528900375189057E-4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5.2545694886564909E-3</v>
      </c>
      <c r="C13" s="7">
        <f>$B13 * IFERROR(VLOOKUP("electricity|PM25|Non-fatal heart attacks", US_national_yearly!$D:$AM, 11, FALSE) / VLOOKUP("electricity|PM25|Non-fatal heart attacks", US_national_yearly!$D:$AM, 10, FALSE), 1)</f>
        <v>5.4067671576490273E-3</v>
      </c>
      <c r="D13" s="7">
        <f>$B13 * IFERROR(VLOOKUP("electricity|PM25|Non-fatal heart attacks", US_national_yearly!$D:$AM, 12, FALSE) / VLOOKUP("electricity|PM25|Non-fatal heart attacks", US_national_yearly!$D:$AM, 10, FALSE), 1)</f>
        <v>5.5589648266415629E-3</v>
      </c>
      <c r="E13" s="7">
        <f>$B13 * IFERROR(VLOOKUP("electricity|PM25|Non-fatal heart attacks", US_national_yearly!$D:$AM, 13, FALSE) / VLOOKUP("electricity|PM25|Non-fatal heart attacks", US_national_yearly!$D:$AM, 10, FALSE), 1)</f>
        <v>5.7111624956340985E-3</v>
      </c>
      <c r="F13" s="7">
        <f>$B13 * IFERROR(VLOOKUP("electricity|PM25|Non-fatal heart attacks", US_national_yearly!$D:$AM, 14, FALSE) / VLOOKUP("electricity|PM25|Non-fatal heart attacks", US_national_yearly!$D:$AM, 10, FALSE), 1)</f>
        <v>5.863360164626635E-3</v>
      </c>
      <c r="G13" s="7">
        <f>$B13 * IFERROR(VLOOKUP("electricity|PM25|Non-fatal heart attacks", US_national_yearly!$D:$AM, 15, FALSE) / VLOOKUP("electricity|PM25|Non-fatal heart attacks", US_national_yearly!$D:$AM, 10, FALSE), 1)</f>
        <v>6.007821168875974E-3</v>
      </c>
      <c r="H13" s="7">
        <f>$B13 * IFERROR(VLOOKUP("electricity|PM25|Non-fatal heart attacks", US_national_yearly!$D:$AM, 16, FALSE) / VLOOKUP("electricity|PM25|Non-fatal heart attacks", US_national_yearly!$D:$AM, 10, FALSE), 1)</f>
        <v>6.1522821731253112E-3</v>
      </c>
      <c r="I13" s="7">
        <f>$B13 * IFERROR(VLOOKUP("electricity|PM25|Non-fatal heart attacks", US_national_yearly!$D:$AM, 17, FALSE) / VLOOKUP("electricity|PM25|Non-fatal heart attacks", US_national_yearly!$D:$AM, 10, FALSE), 1)</f>
        <v>6.2701452981635368E-3</v>
      </c>
      <c r="J13" s="7">
        <f>$B13 * IFERROR(VLOOKUP("electricity|PM25|Non-fatal heart attacks", US_national_yearly!$D:$AM, 18, FALSE) / VLOOKUP("electricity|PM25|Non-fatal heart attacks", US_national_yearly!$D:$AM, 10, FALSE), 1)</f>
        <v>6.3880084232017624E-3</v>
      </c>
      <c r="K13" s="7">
        <f>$B13 * IFERROR(VLOOKUP("electricity|PM25|Non-fatal heart attacks", US_national_yearly!$D:$AM, 19, FALSE) / VLOOKUP("electricity|PM25|Non-fatal heart attacks", US_national_yearly!$D:$AM, 10, FALSE), 1)</f>
        <v>6.5058715482399863E-3</v>
      </c>
      <c r="L13" s="7">
        <f>$B13 * IFERROR(VLOOKUP("electricity|PM25|Non-fatal heart attacks", US_national_yearly!$D:$AM, 20, FALSE) / VLOOKUP("electricity|PM25|Non-fatal heart attacks", US_national_yearly!$D:$AM, 10, FALSE), 1)</f>
        <v>6.6237346732782101E-3</v>
      </c>
      <c r="M13" s="7">
        <f>$B13 * IFERROR(VLOOKUP("electricity|PM25|Non-fatal heart attacks", US_national_yearly!$D:$AM, 21, FALSE) / VLOOKUP("electricity|PM25|Non-fatal heart attacks", US_national_yearly!$D:$AM, 10, FALSE), 1)</f>
        <v>6.7415977983164366E-3</v>
      </c>
      <c r="N13" s="7">
        <f>$B13 * IFERROR(VLOOKUP("electricity|PM25|Non-fatal heart attacks", US_national_yearly!$D:$AM, 22, FALSE) / VLOOKUP("electricity|PM25|Non-fatal heart attacks", US_national_yearly!$D:$AM, 10, FALSE), 1)</f>
        <v>6.8180757511814311E-3</v>
      </c>
      <c r="O13" s="7">
        <f>$B13 * IFERROR(VLOOKUP("electricity|PM25|Non-fatal heart attacks", US_national_yearly!$D:$AM, 23, FALSE) / VLOOKUP("electricity|PM25|Non-fatal heart attacks", US_national_yearly!$D:$AM, 10, FALSE), 1)</f>
        <v>6.8945537040464248E-3</v>
      </c>
      <c r="P13" s="7">
        <f>$B13 * IFERROR(VLOOKUP("electricity|PM25|Non-fatal heart attacks", US_national_yearly!$D:$AM, 24, FALSE) / VLOOKUP("electricity|PM25|Non-fatal heart attacks", US_national_yearly!$D:$AM, 10, FALSE), 1)</f>
        <v>6.9710316569114176E-3</v>
      </c>
      <c r="Q13" s="7">
        <f>$B13 * IFERROR(VLOOKUP("electricity|PM25|Non-fatal heart attacks", US_national_yearly!$D:$AM, 25, FALSE) / VLOOKUP("electricity|PM25|Non-fatal heart attacks", US_national_yearly!$D:$AM, 10, FALSE), 1)</f>
        <v>7.0475096097764121E-3</v>
      </c>
      <c r="R13" s="7">
        <f>$B13 * IFERROR(VLOOKUP("electricity|PM25|Non-fatal heart attacks", US_national_yearly!$D:$AM, 26, FALSE) / VLOOKUP("electricity|PM25|Non-fatal heart attacks", US_national_yearly!$D:$AM, 10, FALSE), 1)</f>
        <v>7.1239875626414057E-3</v>
      </c>
      <c r="S13" s="7">
        <f>$B13 * IFERROR(VLOOKUP("electricity|PM25|Non-fatal heart attacks", US_national_yearly!$D:$AM, 27, FALSE) / VLOOKUP("electricity|PM25|Non-fatal heart attacks", US_national_yearly!$D:$AM, 10, FALSE), 1)</f>
        <v>7.166090640427553E-3</v>
      </c>
      <c r="T13" s="7">
        <f>$B13 * IFERROR(VLOOKUP("electricity|PM25|Non-fatal heart attacks", US_national_yearly!$D:$AM, 28, FALSE) / VLOOKUP("electricity|PM25|Non-fatal heart attacks", US_national_yearly!$D:$AM, 10, FALSE), 1)</f>
        <v>7.2081937182137019E-3</v>
      </c>
      <c r="U13" s="7">
        <f>$B13 * IFERROR(VLOOKUP("electricity|PM25|Non-fatal heart attacks", US_national_yearly!$D:$AM, 29, FALSE) / VLOOKUP("electricity|PM25|Non-fatal heart attacks", US_national_yearly!$D:$AM, 10, FALSE), 1)</f>
        <v>7.2502967959998492E-3</v>
      </c>
      <c r="V13" s="7">
        <f>$B13 * IFERROR(VLOOKUP("electricity|PM25|Non-fatal heart attacks", US_national_yearly!$D:$AM, 30, FALSE) / VLOOKUP("electricity|PM25|Non-fatal heart attacks", US_national_yearly!$D:$AM, 10, FALSE), 1)</f>
        <v>7.2923998737859964E-3</v>
      </c>
      <c r="W13" s="7">
        <f>$B13 * IFERROR(VLOOKUP("electricity|PM25|Non-fatal heart attacks", US_national_yearly!$D:$AM, 31, FALSE) / VLOOKUP("electricity|PM25|Non-fatal heart attacks", US_national_yearly!$D:$AM, 10, FALSE), 1)</f>
        <v>7.3345029515721446E-3</v>
      </c>
      <c r="X13" s="7">
        <f>$B13 * IFERROR(VLOOKUP("electricity|PM25|Non-fatal heart attacks", US_national_yearly!$D:$AM, 32, FALSE) / VLOOKUP("electricity|PM25|Non-fatal heart attacks", US_national_yearly!$D:$AM, 10, FALSE), 1)</f>
        <v>7.3674408539455959E-3</v>
      </c>
      <c r="Y13" s="7">
        <f>$B13 * IFERROR(VLOOKUP("electricity|PM25|Non-fatal heart attacks", US_national_yearly!$D:$AM, 33, FALSE) / VLOOKUP("electricity|PM25|Non-fatal heart attacks", US_national_yearly!$D:$AM, 10, FALSE), 1)</f>
        <v>7.400378756319049E-3</v>
      </c>
      <c r="Z13" s="7">
        <f>$B13 * IFERROR(VLOOKUP("electricity|PM25|Non-fatal heart attacks", US_national_yearly!$D:$AM, 34, FALSE) / VLOOKUP("electricity|PM25|Non-fatal heart attacks", US_national_yearly!$D:$AM, 10, FALSE), 1)</f>
        <v>7.4333166586925004E-3</v>
      </c>
      <c r="AA13" s="7">
        <f>$B13 * IFERROR(VLOOKUP("electricity|PM25|Non-fatal heart attacks", US_national_yearly!$D:$AM, 35, FALSE) / VLOOKUP("electricity|PM25|Non-fatal heart attacks", US_national_yearly!$D:$AM, 10, FALSE), 1)</f>
        <v>7.4662545610659535E-3</v>
      </c>
      <c r="AB13" s="7">
        <f>$B13 * IFERROR(VLOOKUP("electricity|PM25|Non-fatal heart attacks", US_national_yearly!$D:$AM, 36, FALSE) / VLOOKUP("electricity|PM25|Non-fatal heart attacks", US_national_yearly!$D:$AM, 10, FALSE), 1)</f>
        <v>7.4991924634394058E-3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3.8298299881654159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3.8383319533071507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3.8468339184488864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3.8553358835906217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3.8638378487323575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3.8764537798472927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3.8890697109622283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3.9113460099559663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3.9336223089497051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3.9558986079434431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3.9781749069371815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4.0004512059309194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4.031354857207246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4.0622585084835734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4.0931621597599008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4.1240658110362283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4.1549694623125557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4.1861396732511498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4.2173098841897438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4.2484800951283379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4.2796503060669329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4.3108205170055269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4.3375398939385574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4.3642592708715879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4.3909786478046193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4.4176980247376489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4.4444174016706812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0.65041624154891142</v>
      </c>
      <c r="C15" s="7">
        <f>$B15 * IFERROR(VLOOKUP("electricity|PM25|Work loss days", US_national_yearly!$D:$AM, 11, FALSE) / VLOOKUP("electricity|PM25|Work loss days", US_national_yearly!$D:$AM, 10, FALSE), 1)</f>
        <v>0.65227744522133546</v>
      </c>
      <c r="D15" s="7">
        <f>$B15 * IFERROR(VLOOKUP("electricity|PM25|Work loss days", US_national_yearly!$D:$AM, 12, FALSE) / VLOOKUP("electricity|PM25|Work loss days", US_national_yearly!$D:$AM, 10, FALSE), 1)</f>
        <v>0.65413864889375961</v>
      </c>
      <c r="E15" s="7">
        <f>$B15 * IFERROR(VLOOKUP("electricity|PM25|Work loss days", US_national_yearly!$D:$AM, 13, FALSE) / VLOOKUP("electricity|PM25|Work loss days", US_national_yearly!$D:$AM, 10, FALSE), 1)</f>
        <v>0.65599985256618365</v>
      </c>
      <c r="F15" s="7">
        <f>$B15 * IFERROR(VLOOKUP("electricity|PM25|Work loss days", US_national_yearly!$D:$AM, 14, FALSE) / VLOOKUP("electricity|PM25|Work loss days", US_national_yearly!$D:$AM, 10, FALSE), 1)</f>
        <v>0.65786105623860769</v>
      </c>
      <c r="G15" s="7">
        <f>$B15 * IFERROR(VLOOKUP("electricity|PM25|Work loss days", US_national_yearly!$D:$AM, 15, FALSE) / VLOOKUP("electricity|PM25|Work loss days", US_national_yearly!$D:$AM, 10, FALSE), 1)</f>
        <v>0.6602721500516292</v>
      </c>
      <c r="H15" s="7">
        <f>$B15 * IFERROR(VLOOKUP("electricity|PM25|Work loss days", US_national_yearly!$D:$AM, 16, FALSE) / VLOOKUP("electricity|PM25|Work loss days", US_national_yearly!$D:$AM, 10, FALSE), 1)</f>
        <v>0.66268324386465072</v>
      </c>
      <c r="I15" s="7">
        <f>$B15 * IFERROR(VLOOKUP("electricity|PM25|Work loss days", US_national_yearly!$D:$AM, 17, FALSE) / VLOOKUP("electricity|PM25|Work loss days", US_national_yearly!$D:$AM, 10, FALSE), 1)</f>
        <v>0.6663079116962638</v>
      </c>
      <c r="J15" s="7">
        <f>$B15 * IFERROR(VLOOKUP("electricity|PM25|Work loss days", US_national_yearly!$D:$AM, 18, FALSE) / VLOOKUP("electricity|PM25|Work loss days", US_national_yearly!$D:$AM, 10, FALSE), 1)</f>
        <v>0.66993257952787677</v>
      </c>
      <c r="K15" s="7">
        <f>$B15 * IFERROR(VLOOKUP("electricity|PM25|Work loss days", US_national_yearly!$D:$AM, 19, FALSE) / VLOOKUP("electricity|PM25|Work loss days", US_national_yearly!$D:$AM, 10, FALSE), 1)</f>
        <v>0.67355724735948974</v>
      </c>
      <c r="L15" s="7">
        <f>$B15 * IFERROR(VLOOKUP("electricity|PM25|Work loss days", US_national_yearly!$D:$AM, 20, FALSE) / VLOOKUP("electricity|PM25|Work loss days", US_national_yearly!$D:$AM, 10, FALSE), 1)</f>
        <v>0.67718191519110282</v>
      </c>
      <c r="M15" s="7">
        <f>$B15 * IFERROR(VLOOKUP("electricity|PM25|Work loss days", US_national_yearly!$D:$AM, 21, FALSE) / VLOOKUP("electricity|PM25|Work loss days", US_national_yearly!$D:$AM, 10, FALSE), 1)</f>
        <v>0.68080658302271591</v>
      </c>
      <c r="N15" s="7">
        <f>$B15 * IFERROR(VLOOKUP("electricity|PM25|Work loss days", US_national_yearly!$D:$AM, 22, FALSE) / VLOOKUP("electricity|PM25|Work loss days", US_national_yearly!$D:$AM, 10, FALSE), 1)</f>
        <v>0.68548628082674301</v>
      </c>
      <c r="O15" s="7">
        <f>$B15 * IFERROR(VLOOKUP("electricity|PM25|Work loss days", US_national_yearly!$D:$AM, 23, FALSE) / VLOOKUP("electricity|PM25|Work loss days", US_national_yearly!$D:$AM, 10, FALSE), 1)</f>
        <v>0.69016597863077023</v>
      </c>
      <c r="P15" s="7">
        <f>$B15 * IFERROR(VLOOKUP("electricity|PM25|Work loss days", US_national_yearly!$D:$AM, 24, FALSE) / VLOOKUP("electricity|PM25|Work loss days", US_national_yearly!$D:$AM, 10, FALSE), 1)</f>
        <v>0.69484567643479722</v>
      </c>
      <c r="Q15" s="7">
        <f>$B15 * IFERROR(VLOOKUP("electricity|PM25|Work loss days", US_national_yearly!$D:$AM, 25, FALSE) / VLOOKUP("electricity|PM25|Work loss days", US_national_yearly!$D:$AM, 10, FALSE), 1)</f>
        <v>0.69952537423882422</v>
      </c>
      <c r="R15" s="7">
        <f>$B15 * IFERROR(VLOOKUP("electricity|PM25|Work loss days", US_national_yearly!$D:$AM, 26, FALSE) / VLOOKUP("electricity|PM25|Work loss days", US_national_yearly!$D:$AM, 10, FALSE), 1)</f>
        <v>0.70420507204285143</v>
      </c>
      <c r="S15" s="7">
        <f>$B15 * IFERROR(VLOOKUP("electricity|PM25|Work loss days", US_national_yearly!$D:$AM, 27, FALSE) / VLOOKUP("electricity|PM25|Work loss days", US_national_yearly!$D:$AM, 10, FALSE), 1)</f>
        <v>0.70939788413362503</v>
      </c>
      <c r="T15" s="7">
        <f>$B15 * IFERROR(VLOOKUP("electricity|PM25|Work loss days", US_national_yearly!$D:$AM, 28, FALSE) / VLOOKUP("electricity|PM25|Work loss days", US_national_yearly!$D:$AM, 10, FALSE), 1)</f>
        <v>0.71459069622439886</v>
      </c>
      <c r="U15" s="7">
        <f>$B15 * IFERROR(VLOOKUP("electricity|PM25|Work loss days", US_national_yearly!$D:$AM, 29, FALSE) / VLOOKUP("electricity|PM25|Work loss days", US_national_yearly!$D:$AM, 10, FALSE), 1)</f>
        <v>0.71978350831517268</v>
      </c>
      <c r="V15" s="7">
        <f>$B15 * IFERROR(VLOOKUP("electricity|PM25|Work loss days", US_national_yearly!$D:$AM, 30, FALSE) / VLOOKUP("electricity|PM25|Work loss days", US_national_yearly!$D:$AM, 10, FALSE), 1)</f>
        <v>0.72497632040594662</v>
      </c>
      <c r="W15" s="7">
        <f>$B15 * IFERROR(VLOOKUP("electricity|PM25|Work loss days", US_national_yearly!$D:$AM, 31, FALSE) / VLOOKUP("electricity|PM25|Work loss days", US_national_yearly!$D:$AM, 10, FALSE), 1)</f>
        <v>0.73016913249672022</v>
      </c>
      <c r="X15" s="7">
        <f>$B15 * IFERROR(VLOOKUP("electricity|PM25|Work loss days", US_national_yearly!$D:$AM, 32, FALSE) / VLOOKUP("electricity|PM25|Work loss days", US_national_yearly!$D:$AM, 10, FALSE), 1)</f>
        <v>0.73475004482584105</v>
      </c>
      <c r="Y15" s="7">
        <f>$B15 * IFERROR(VLOOKUP("electricity|PM25|Work loss days", US_national_yearly!$D:$AM, 33, FALSE) / VLOOKUP("electricity|PM25|Work loss days", US_national_yearly!$D:$AM, 10, FALSE), 1)</f>
        <v>0.73933095715496155</v>
      </c>
      <c r="Z15" s="7">
        <f>$B15 * IFERROR(VLOOKUP("electricity|PM25|Work loss days", US_national_yearly!$D:$AM, 34, FALSE) / VLOOKUP("electricity|PM25|Work loss days", US_national_yearly!$D:$AM, 10, FALSE), 1)</f>
        <v>0.74391186948408228</v>
      </c>
      <c r="AA15" s="7">
        <f>$B15 * IFERROR(VLOOKUP("electricity|PM25|Work loss days", US_national_yearly!$D:$AM, 35, FALSE) / VLOOKUP("electricity|PM25|Work loss days", US_national_yearly!$D:$AM, 10, FALSE), 1)</f>
        <v>0.748492781813203</v>
      </c>
      <c r="AB15" s="7">
        <f>$B15 * IFERROR(VLOOKUP("electricity|PM25|Work loss days", US_national_yearly!$D:$AM, 36, FALSE) / VLOOKUP("electricity|PM25|Work loss days", US_national_yearly!$D:$AM, 10, FALSE), 1)</f>
        <v>0.75307369414232372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1.3563573239014979E-3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1.3966071042848464E-3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1.4368568846681946E-3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1.4771066650515431E-3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1.5173564454348913E-3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1.5561772961714365E-3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1.5949981469079817E-3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1.628627853139236E-3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1.6622575593704903E-3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1.6958872656017445E-3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1.7295169718329988E-3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1.7631466780642529E-3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1.7857533374090852E-3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1.8083599967539173E-3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1.8309666560987494E-3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1.8535733154435817E-3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1.8761799747884138E-3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1.8886566202565866E-3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1.9011332657247588E-3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1.9136099111929316E-3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1.926086556661104E-3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1.9385632021292766E-3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1.9472675856857685E-3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1.9559719692422602E-3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1.9646763527987519E-3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1.973380736355244E-3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1.9820851199117361E-3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2.2609569676562154E-4</v>
      </c>
      <c r="C2" s="7">
        <f>$B2 * IFERROR(VLOOKUP("electricity|NOx|Premature mortality", US_national_yearly!$D:$AM, 11, FALSE) / VLOOKUP("electricity|NOx|Premature mortality", US_national_yearly!$D:$AM, 10, FALSE), 1)</f>
        <v>2.2951666793622453E-4</v>
      </c>
      <c r="D2" s="7">
        <f>$B2 * IFERROR(VLOOKUP("electricity|NOx|Premature mortality", US_national_yearly!$D:$AM, 12, FALSE) / VLOOKUP("electricity|NOx|Premature mortality", US_national_yearly!$D:$AM, 10, FALSE), 1)</f>
        <v>2.3293763910682758E-4</v>
      </c>
      <c r="E2" s="7">
        <f>$B2 * IFERROR(VLOOKUP("electricity|NOx|Premature mortality", US_national_yearly!$D:$AM, 13, FALSE) / VLOOKUP("electricity|NOx|Premature mortality", US_national_yearly!$D:$AM, 10, FALSE), 1)</f>
        <v>2.3635861027743055E-4</v>
      </c>
      <c r="F2" s="7">
        <f>$B2 * IFERROR(VLOOKUP("electricity|NOx|Premature mortality", US_national_yearly!$D:$AM, 14, FALSE) / VLOOKUP("electricity|NOx|Premature mortality", US_national_yearly!$D:$AM, 10, FALSE), 1)</f>
        <v>2.3977958144803354E-4</v>
      </c>
      <c r="G2" s="7">
        <f>$B2 * IFERROR(VLOOKUP("electricity|NOx|Premature mortality", US_national_yearly!$D:$AM, 15, FALSE) / VLOOKUP("electricity|NOx|Premature mortality", US_national_yearly!$D:$AM, 10, FALSE), 1)</f>
        <v>2.4589069587311653E-4</v>
      </c>
      <c r="H2" s="7">
        <f>$B2 * IFERROR(VLOOKUP("electricity|NOx|Premature mortality", US_national_yearly!$D:$AM, 16, FALSE) / VLOOKUP("electricity|NOx|Premature mortality", US_national_yearly!$D:$AM, 10, FALSE), 1)</f>
        <v>2.5200181029819948E-4</v>
      </c>
      <c r="I2" s="7">
        <f>$B2 * IFERROR(VLOOKUP("electricity|NOx|Premature mortality", US_national_yearly!$D:$AM, 17, FALSE) / VLOOKUP("electricity|NOx|Premature mortality", US_national_yearly!$D:$AM, 10, FALSE), 1)</f>
        <v>2.5606289684648471E-4</v>
      </c>
      <c r="J2" s="7">
        <f>$B2 * IFERROR(VLOOKUP("electricity|NOx|Premature mortality", US_national_yearly!$D:$AM, 18, FALSE) / VLOOKUP("electricity|NOx|Premature mortality", US_national_yearly!$D:$AM, 10, FALSE), 1)</f>
        <v>2.6012398339476998E-4</v>
      </c>
      <c r="K2" s="7">
        <f>$B2 * IFERROR(VLOOKUP("electricity|NOx|Premature mortality", US_national_yearly!$D:$AM, 19, FALSE) / VLOOKUP("electricity|NOx|Premature mortality", US_national_yearly!$D:$AM, 10, FALSE), 1)</f>
        <v>2.6418506994305515E-4</v>
      </c>
      <c r="L2" s="7">
        <f>$B2 * IFERROR(VLOOKUP("electricity|NOx|Premature mortality", US_national_yearly!$D:$AM, 20, FALSE) / VLOOKUP("electricity|NOx|Premature mortality", US_national_yearly!$D:$AM, 10, FALSE), 1)</f>
        <v>2.6824615649134037E-4</v>
      </c>
      <c r="M2" s="7">
        <f>$B2 * IFERROR(VLOOKUP("electricity|NOx|Premature mortality", US_national_yearly!$D:$AM, 21, FALSE) / VLOOKUP("electricity|NOx|Premature mortality", US_national_yearly!$D:$AM, 10, FALSE), 1)</f>
        <v>2.723072430396256E-4</v>
      </c>
      <c r="N2" s="7">
        <f>$B2 * IFERROR(VLOOKUP("electricity|NOx|Premature mortality", US_national_yearly!$D:$AM, 22, FALSE) / VLOOKUP("electricity|NOx|Premature mortality", US_national_yearly!$D:$AM, 10, FALSE), 1)</f>
        <v>2.7544084079307487E-4</v>
      </c>
      <c r="O2" s="7">
        <f>$B2 * IFERROR(VLOOKUP("electricity|NOx|Premature mortality", US_national_yearly!$D:$AM, 23, FALSE) / VLOOKUP("electricity|NOx|Premature mortality", US_national_yearly!$D:$AM, 10, FALSE), 1)</f>
        <v>2.7857443854652426E-4</v>
      </c>
      <c r="P2" s="7">
        <f>$B2 * IFERROR(VLOOKUP("electricity|NOx|Premature mortality", US_national_yearly!$D:$AM, 24, FALSE) / VLOOKUP("electricity|NOx|Premature mortality", US_national_yearly!$D:$AM, 10, FALSE), 1)</f>
        <v>2.8170803629997353E-4</v>
      </c>
      <c r="Q2" s="7">
        <f>$B2 * IFERROR(VLOOKUP("electricity|NOx|Premature mortality", US_national_yearly!$D:$AM, 25, FALSE) / VLOOKUP("electricity|NOx|Premature mortality", US_national_yearly!$D:$AM, 10, FALSE), 1)</f>
        <v>2.8484163405342286E-4</v>
      </c>
      <c r="R2" s="7">
        <f>$B2 * IFERROR(VLOOKUP("electricity|NOx|Premature mortality", US_national_yearly!$D:$AM, 26, FALSE) / VLOOKUP("electricity|NOx|Premature mortality", US_national_yearly!$D:$AM, 10, FALSE), 1)</f>
        <v>2.8797523180687219E-4</v>
      </c>
      <c r="S2" s="7">
        <f>$B2 * IFERROR(VLOOKUP("electricity|NOx|Premature mortality", US_national_yearly!$D:$AM, 27, FALSE) / VLOOKUP("electricity|NOx|Premature mortality", US_national_yearly!$D:$AM, 10, FALSE), 1)</f>
        <v>2.8959449297202763E-4</v>
      </c>
      <c r="T2" s="7">
        <f>$B2 * IFERROR(VLOOKUP("electricity|NOx|Premature mortality", US_national_yearly!$D:$AM, 28, FALSE) / VLOOKUP("electricity|NOx|Premature mortality", US_national_yearly!$D:$AM, 10, FALSE), 1)</f>
        <v>2.9121375413718311E-4</v>
      </c>
      <c r="U2" s="7">
        <f>$B2 * IFERROR(VLOOKUP("electricity|NOx|Premature mortality", US_national_yearly!$D:$AM, 29, FALSE) / VLOOKUP("electricity|NOx|Premature mortality", US_national_yearly!$D:$AM, 10, FALSE), 1)</f>
        <v>2.9283301530233871E-4</v>
      </c>
      <c r="V2" s="7">
        <f>$B2 * IFERROR(VLOOKUP("electricity|NOx|Premature mortality", US_national_yearly!$D:$AM, 30, FALSE) / VLOOKUP("electricity|NOx|Premature mortality", US_national_yearly!$D:$AM, 10, FALSE), 1)</f>
        <v>2.9445227646749419E-4</v>
      </c>
      <c r="W2" s="7">
        <f>$B2 * IFERROR(VLOOKUP("electricity|NOx|Premature mortality", US_national_yearly!$D:$AM, 31, FALSE) / VLOOKUP("electricity|NOx|Premature mortality", US_national_yearly!$D:$AM, 10, FALSE), 1)</f>
        <v>2.9607153763264963E-4</v>
      </c>
      <c r="X2" s="7">
        <f>$B2 * IFERROR(VLOOKUP("electricity|NOx|Premature mortality", US_national_yearly!$D:$AM, 32, FALSE) / VLOOKUP("electricity|NOx|Premature mortality", US_national_yearly!$D:$AM, 10, FALSE), 1)</f>
        <v>2.9643786481259261E-4</v>
      </c>
      <c r="Y2" s="7">
        <f>$B2 * IFERROR(VLOOKUP("electricity|NOx|Premature mortality", US_national_yearly!$D:$AM, 33, FALSE) / VLOOKUP("electricity|NOx|Premature mortality", US_national_yearly!$D:$AM, 10, FALSE), 1)</f>
        <v>2.9680419199253554E-4</v>
      </c>
      <c r="Z2" s="7">
        <f>$B2 * IFERROR(VLOOKUP("electricity|NOx|Premature mortality", US_national_yearly!$D:$AM, 34, FALSE) / VLOOKUP("electricity|NOx|Premature mortality", US_national_yearly!$D:$AM, 10, FALSE), 1)</f>
        <v>2.9717051917247853E-4</v>
      </c>
      <c r="AA2" s="7">
        <f>$B2 * IFERROR(VLOOKUP("electricity|NOx|Premature mortality", US_national_yearly!$D:$AM, 35, FALSE) / VLOOKUP("electricity|NOx|Premature mortality", US_national_yearly!$D:$AM, 10, FALSE), 1)</f>
        <v>2.9753684635242141E-4</v>
      </c>
      <c r="AB2" s="7">
        <f>$B2 * IFERROR(VLOOKUP("electricity|NOx|Premature mortality", US_national_yearly!$D:$AM, 36, FALSE) / VLOOKUP("electricity|NOx|Premature mortality", US_national_yearly!$D:$AM, 10, FALSE), 1)</f>
        <v>2.9790317353236439E-4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5.2205513352813968E-7</v>
      </c>
      <c r="C3" s="7">
        <f>$B3 * IFERROR(VLOOKUP("electricity|NOx|Infant mortality", US_national_yearly!$D:$AM, 11, FALSE) / VLOOKUP("electricity|NOx|Infant mortality", US_national_yearly!$D:$AM, 10, FALSE), 1)</f>
        <v>5.17171009476998E-7</v>
      </c>
      <c r="D3" s="7">
        <f>$B3 * IFERROR(VLOOKUP("electricity|NOx|Infant mortality", US_national_yearly!$D:$AM, 12, FALSE) / VLOOKUP("electricity|NOx|Infant mortality", US_national_yearly!$D:$AM, 10, FALSE), 1)</f>
        <v>5.1228688542585632E-7</v>
      </c>
      <c r="E3" s="7">
        <f>$B3 * IFERROR(VLOOKUP("electricity|NOx|Infant mortality", US_national_yearly!$D:$AM, 13, FALSE) / VLOOKUP("electricity|NOx|Infant mortality", US_national_yearly!$D:$AM, 10, FALSE), 1)</f>
        <v>5.0740276137471463E-7</v>
      </c>
      <c r="F3" s="7">
        <f>$B3 * IFERROR(VLOOKUP("electricity|NOx|Infant mortality", US_national_yearly!$D:$AM, 14, FALSE) / VLOOKUP("electricity|NOx|Infant mortality", US_national_yearly!$D:$AM, 10, FALSE), 1)</f>
        <v>5.0251863732357295E-7</v>
      </c>
      <c r="G3" s="7">
        <f>$B3 * IFERROR(VLOOKUP("electricity|NOx|Infant mortality", US_national_yearly!$D:$AM, 15, FALSE) / VLOOKUP("electricity|NOx|Infant mortality", US_national_yearly!$D:$AM, 10, FALSE), 1)</f>
        <v>3.3294349381657939E-7</v>
      </c>
      <c r="H3" s="7">
        <f>$B3 * IFERROR(VLOOKUP("electricity|NOx|Infant mortality", US_national_yearly!$D:$AM, 16, FALSE) / VLOOKUP("electricity|NOx|Infant mortality", US_national_yearly!$D:$AM, 10, FALSE), 1)</f>
        <v>1.6336835030958592E-7</v>
      </c>
      <c r="I3" s="7">
        <f>$B3 * IFERROR(VLOOKUP("electricity|NOx|Infant mortality", US_national_yearly!$D:$AM, 17, FALSE) / VLOOKUP("electricity|NOx|Infant mortality", US_national_yearly!$D:$AM, 10, FALSE), 1)</f>
        <v>1.6218024639216173E-7</v>
      </c>
      <c r="J3" s="7">
        <f>$B3 * IFERROR(VLOOKUP("electricity|NOx|Infant mortality", US_national_yearly!$D:$AM, 18, FALSE) / VLOOKUP("electricity|NOx|Infant mortality", US_national_yearly!$D:$AM, 10, FALSE), 1)</f>
        <v>1.6099214247473756E-7</v>
      </c>
      <c r="K3" s="7">
        <f>$B3 * IFERROR(VLOOKUP("electricity|NOx|Infant mortality", US_national_yearly!$D:$AM, 19, FALSE) / VLOOKUP("electricity|NOx|Infant mortality", US_national_yearly!$D:$AM, 10, FALSE), 1)</f>
        <v>1.5980403855731337E-7</v>
      </c>
      <c r="L3" s="7">
        <f>$B3 * IFERROR(VLOOKUP("electricity|NOx|Infant mortality", US_national_yearly!$D:$AM, 20, FALSE) / VLOOKUP("electricity|NOx|Infant mortality", US_national_yearly!$D:$AM, 10, FALSE), 1)</f>
        <v>1.5861593463988921E-7</v>
      </c>
      <c r="M3" s="7">
        <f>$B3 * IFERROR(VLOOKUP("electricity|NOx|Infant mortality", US_national_yearly!$D:$AM, 21, FALSE) / VLOOKUP("electricity|NOx|Infant mortality", US_national_yearly!$D:$AM, 10, FALSE), 1)</f>
        <v>1.5742783072246499E-7</v>
      </c>
      <c r="N3" s="7">
        <f>$B3 * IFERROR(VLOOKUP("electricity|NOx|Infant mortality", US_national_yearly!$D:$AM, 22, FALSE) / VLOOKUP("electricity|NOx|Infant mortality", US_national_yearly!$D:$AM, 10, FALSE), 1)</f>
        <v>1.5663001040727761E-7</v>
      </c>
      <c r="O3" s="7">
        <f>$B3 * IFERROR(VLOOKUP("electricity|NOx|Infant mortality", US_national_yearly!$D:$AM, 23, FALSE) / VLOOKUP("electricity|NOx|Infant mortality", US_national_yearly!$D:$AM, 10, FALSE), 1)</f>
        <v>1.5583219009209021E-7</v>
      </c>
      <c r="P3" s="7">
        <f>$B3 * IFERROR(VLOOKUP("electricity|NOx|Infant mortality", US_national_yearly!$D:$AM, 24, FALSE) / VLOOKUP("electricity|NOx|Infant mortality", US_national_yearly!$D:$AM, 10, FALSE), 1)</f>
        <v>1.550343697769028E-7</v>
      </c>
      <c r="Q3" s="7">
        <f>$B3 * IFERROR(VLOOKUP("electricity|NOx|Infant mortality", US_national_yearly!$D:$AM, 25, FALSE) / VLOOKUP("electricity|NOx|Infant mortality", US_national_yearly!$D:$AM, 10, FALSE), 1)</f>
        <v>1.5423654946171539E-7</v>
      </c>
      <c r="R3" s="7">
        <f>$B3 * IFERROR(VLOOKUP("electricity|NOx|Infant mortality", US_national_yearly!$D:$AM, 26, FALSE) / VLOOKUP("electricity|NOx|Infant mortality", US_national_yearly!$D:$AM, 10, FALSE), 1)</f>
        <v>1.5343872914652802E-7</v>
      </c>
      <c r="S3" s="7">
        <f>$B3 * IFERROR(VLOOKUP("electricity|NOx|Infant mortality", US_national_yearly!$D:$AM, 27, FALSE) / VLOOKUP("electricity|NOx|Infant mortality", US_national_yearly!$D:$AM, 10, FALSE), 1)</f>
        <v>1.5249157749640301E-7</v>
      </c>
      <c r="T3" s="7">
        <f>$B3 * IFERROR(VLOOKUP("electricity|NOx|Infant mortality", US_national_yearly!$D:$AM, 28, FALSE) / VLOOKUP("electricity|NOx|Infant mortality", US_national_yearly!$D:$AM, 10, FALSE), 1)</f>
        <v>1.5154442584627798E-7</v>
      </c>
      <c r="U3" s="7">
        <f>$B3 * IFERROR(VLOOKUP("electricity|NOx|Infant mortality", US_national_yearly!$D:$AM, 29, FALSE) / VLOOKUP("electricity|NOx|Infant mortality", US_national_yearly!$D:$AM, 10, FALSE), 1)</f>
        <v>1.5059727419615297E-7</v>
      </c>
      <c r="V3" s="7">
        <f>$B3 * IFERROR(VLOOKUP("electricity|NOx|Infant mortality", US_national_yearly!$D:$AM, 30, FALSE) / VLOOKUP("electricity|NOx|Infant mortality", US_national_yearly!$D:$AM, 10, FALSE), 1)</f>
        <v>1.49650122546028E-7</v>
      </c>
      <c r="W3" s="7">
        <f>$B3 * IFERROR(VLOOKUP("electricity|NOx|Infant mortality", US_national_yearly!$D:$AM, 31, FALSE) / VLOOKUP("electricity|NOx|Infant mortality", US_national_yearly!$D:$AM, 10, FALSE), 1)</f>
        <v>1.4870297089590297E-7</v>
      </c>
      <c r="X3" s="7">
        <f>$B3 * IFERROR(VLOOKUP("electricity|NOx|Infant mortality", US_national_yearly!$D:$AM, 32, FALSE) / VLOOKUP("electricity|NOx|Infant mortality", US_national_yearly!$D:$AM, 10, FALSE), 1)</f>
        <v>1.4772771311525818E-7</v>
      </c>
      <c r="Y3" s="7">
        <f>$B3 * IFERROR(VLOOKUP("electricity|NOx|Infant mortality", US_national_yearly!$D:$AM, 33, FALSE) / VLOOKUP("electricity|NOx|Infant mortality", US_national_yearly!$D:$AM, 10, FALSE), 1)</f>
        <v>1.467524553346134E-7</v>
      </c>
      <c r="Z3" s="7">
        <f>$B3 * IFERROR(VLOOKUP("electricity|NOx|Infant mortality", US_national_yearly!$D:$AM, 34, FALSE) / VLOOKUP("electricity|NOx|Infant mortality", US_national_yearly!$D:$AM, 10, FALSE), 1)</f>
        <v>1.4577719755396862E-7</v>
      </c>
      <c r="AA3" s="7">
        <f>$B3 * IFERROR(VLOOKUP("electricity|NOx|Infant mortality", US_national_yearly!$D:$AM, 35, FALSE) / VLOOKUP("electricity|NOx|Infant mortality", US_national_yearly!$D:$AM, 10, FALSE), 1)</f>
        <v>1.4480193977332384E-7</v>
      </c>
      <c r="AB3" s="7">
        <f>$B3 * IFERROR(VLOOKUP("electricity|NOx|Infant mortality", US_national_yearly!$D:$AM, 36, FALSE) / VLOOKUP("electricity|NOx|Infant mortality", US_national_yearly!$D:$AM, 10, FALSE), 1)</f>
        <v>1.4382668199267903E-7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4.8484483777619711E-4</v>
      </c>
      <c r="C6" s="7">
        <f>$B6 * IFERROR(VLOOKUP("electricity|NOx|Asthma symptoms cough", US_national_yearly!$D:$AM, 11, FALSE) / VLOOKUP("electricity|NOx|Asthma symptoms cough", US_national_yearly!$D:$AM, 10, FALSE), 1)</f>
        <v>4.9150114210461029E-4</v>
      </c>
      <c r="D6" s="7">
        <f>$B6 * IFERROR(VLOOKUP("electricity|NOx|Asthma symptoms cough", US_national_yearly!$D:$AM, 12, FALSE) / VLOOKUP("electricity|NOx|Asthma symptoms cough", US_national_yearly!$D:$AM, 10, FALSE), 1)</f>
        <v>4.9815744643302363E-4</v>
      </c>
      <c r="E6" s="7">
        <f>$B6 * IFERROR(VLOOKUP("electricity|NOx|Asthma symptoms cough", US_national_yearly!$D:$AM, 13, FALSE) / VLOOKUP("electricity|NOx|Asthma symptoms cough", US_national_yearly!$D:$AM, 10, FALSE), 1)</f>
        <v>5.0481375076143675E-4</v>
      </c>
      <c r="F6" s="7">
        <f>$B6 * IFERROR(VLOOKUP("electricity|NOx|Asthma symptoms cough", US_national_yearly!$D:$AM, 14, FALSE) / VLOOKUP("electricity|NOx|Asthma symptoms cough", US_national_yearly!$D:$AM, 10, FALSE), 1)</f>
        <v>5.1147005508984998E-4</v>
      </c>
      <c r="G6" s="7">
        <f>$B6 * IFERROR(VLOOKUP("electricity|NOx|Asthma symptoms cough", US_national_yearly!$D:$AM, 15, FALSE) / VLOOKUP("electricity|NOx|Asthma symptoms cough", US_national_yearly!$D:$AM, 10, FALSE), 1)</f>
        <v>5.1688198344101933E-4</v>
      </c>
      <c r="H6" s="7">
        <f>$B6 * IFERROR(VLOOKUP("electricity|NOx|Asthma symptoms cough", US_national_yearly!$D:$AM, 16, FALSE) / VLOOKUP("electricity|NOx|Asthma symptoms cough", US_national_yearly!$D:$AM, 10, FALSE), 1)</f>
        <v>5.2229391179218858E-4</v>
      </c>
      <c r="I6" s="7">
        <f>$B6 * IFERROR(VLOOKUP("electricity|NOx|Asthma symptoms cough", US_national_yearly!$D:$AM, 17, FALSE) / VLOOKUP("electricity|NOx|Asthma symptoms cough", US_national_yearly!$D:$AM, 10, FALSE), 1)</f>
        <v>5.2430573144355837E-4</v>
      </c>
      <c r="J6" s="7">
        <f>$B6 * IFERROR(VLOOKUP("electricity|NOx|Asthma symptoms cough", US_national_yearly!$D:$AM, 18, FALSE) / VLOOKUP("electricity|NOx|Asthma symptoms cough", US_national_yearly!$D:$AM, 10, FALSE), 1)</f>
        <v>5.2631755109492815E-4</v>
      </c>
      <c r="K6" s="7">
        <f>$B6 * IFERROR(VLOOKUP("electricity|NOx|Asthma symptoms cough", US_national_yearly!$D:$AM, 19, FALSE) / VLOOKUP("electricity|NOx|Asthma symptoms cough", US_national_yearly!$D:$AM, 10, FALSE), 1)</f>
        <v>5.2832937074629794E-4</v>
      </c>
      <c r="L6" s="7">
        <f>$B6 * IFERROR(VLOOKUP("electricity|NOx|Asthma symptoms cough", US_national_yearly!$D:$AM, 20, FALSE) / VLOOKUP("electricity|NOx|Asthma symptoms cough", US_national_yearly!$D:$AM, 10, FALSE), 1)</f>
        <v>5.3034119039766772E-4</v>
      </c>
      <c r="M6" s="7">
        <f>$B6 * IFERROR(VLOOKUP("electricity|NOx|Asthma symptoms cough", US_national_yearly!$D:$AM, 21, FALSE) / VLOOKUP("electricity|NOx|Asthma symptoms cough", US_national_yearly!$D:$AM, 10, FALSE), 1)</f>
        <v>5.3235301004903761E-4</v>
      </c>
      <c r="N6" s="7">
        <f>$B6 * IFERROR(VLOOKUP("electricity|NOx|Asthma symptoms cough", US_national_yearly!$D:$AM, 22, FALSE) / VLOOKUP("electricity|NOx|Asthma symptoms cough", US_national_yearly!$D:$AM, 10, FALSE), 1)</f>
        <v>5.3458208946525012E-4</v>
      </c>
      <c r="O6" s="7">
        <f>$B6 * IFERROR(VLOOKUP("electricity|NOx|Asthma symptoms cough", US_national_yearly!$D:$AM, 23, FALSE) / VLOOKUP("electricity|NOx|Asthma symptoms cough", US_national_yearly!$D:$AM, 10, FALSE), 1)</f>
        <v>5.3681116888146263E-4</v>
      </c>
      <c r="P6" s="7">
        <f>$B6 * IFERROR(VLOOKUP("electricity|NOx|Asthma symptoms cough", US_national_yearly!$D:$AM, 24, FALSE) / VLOOKUP("electricity|NOx|Asthma symptoms cough", US_national_yearly!$D:$AM, 10, FALSE), 1)</f>
        <v>5.3904024829767513E-4</v>
      </c>
      <c r="Q6" s="7">
        <f>$B6 * IFERROR(VLOOKUP("electricity|NOx|Asthma symptoms cough", US_national_yearly!$D:$AM, 25, FALSE) / VLOOKUP("electricity|NOx|Asthma symptoms cough", US_national_yearly!$D:$AM, 10, FALSE), 1)</f>
        <v>5.4126932771388775E-4</v>
      </c>
      <c r="R6" s="7">
        <f>$B6 * IFERROR(VLOOKUP("electricity|NOx|Asthma symptoms cough", US_national_yearly!$D:$AM, 26, FALSE) / VLOOKUP("electricity|NOx|Asthma symptoms cough", US_national_yearly!$D:$AM, 10, FALSE), 1)</f>
        <v>5.4349840713010026E-4</v>
      </c>
      <c r="S6" s="7">
        <f>$B6 * IFERROR(VLOOKUP("electricity|NOx|Asthma symptoms cough", US_national_yearly!$D:$AM, 27, FALSE) / VLOOKUP("electricity|NOx|Asthma symptoms cough", US_national_yearly!$D:$AM, 10, FALSE), 1)</f>
        <v>5.4627938897306686E-4</v>
      </c>
      <c r="T6" s="7">
        <f>$B6 * IFERROR(VLOOKUP("electricity|NOx|Asthma symptoms cough", US_national_yearly!$D:$AM, 28, FALSE) / VLOOKUP("electricity|NOx|Asthma symptoms cough", US_national_yearly!$D:$AM, 10, FALSE), 1)</f>
        <v>5.4906037081603335E-4</v>
      </c>
      <c r="U6" s="7">
        <f>$B6 * IFERROR(VLOOKUP("electricity|NOx|Asthma symptoms cough", US_national_yearly!$D:$AM, 29, FALSE) / VLOOKUP("electricity|NOx|Asthma symptoms cough", US_national_yearly!$D:$AM, 10, FALSE), 1)</f>
        <v>5.5184135265900006E-4</v>
      </c>
      <c r="V6" s="7">
        <f>$B6 * IFERROR(VLOOKUP("electricity|NOx|Asthma symptoms cough", US_national_yearly!$D:$AM, 30, FALSE) / VLOOKUP("electricity|NOx|Asthma symptoms cough", US_national_yearly!$D:$AM, 10, FALSE), 1)</f>
        <v>5.5462233450196655E-4</v>
      </c>
      <c r="W6" s="7">
        <f>$B6 * IFERROR(VLOOKUP("electricity|NOx|Asthma symptoms cough", US_national_yearly!$D:$AM, 31, FALSE) / VLOOKUP("electricity|NOx|Asthma symptoms cough", US_national_yearly!$D:$AM, 10, FALSE), 1)</f>
        <v>5.5740331634493315E-4</v>
      </c>
      <c r="X6" s="7">
        <f>$B6 * IFERROR(VLOOKUP("electricity|NOx|Asthma symptoms cough", US_national_yearly!$D:$AM, 32, FALSE) / VLOOKUP("electricity|NOx|Asthma symptoms cough", US_national_yearly!$D:$AM, 10, FALSE), 1)</f>
        <v>5.5996545348039792E-4</v>
      </c>
      <c r="Y6" s="7">
        <f>$B6 * IFERROR(VLOOKUP("electricity|NOx|Asthma symptoms cough", US_national_yearly!$D:$AM, 33, FALSE) / VLOOKUP("electricity|NOx|Asthma symptoms cough", US_national_yearly!$D:$AM, 10, FALSE), 1)</f>
        <v>5.625275906158627E-4</v>
      </c>
      <c r="Z6" s="7">
        <f>$B6 * IFERROR(VLOOKUP("electricity|NOx|Asthma symptoms cough", US_national_yearly!$D:$AM, 34, FALSE) / VLOOKUP("electricity|NOx|Asthma symptoms cough", US_national_yearly!$D:$AM, 10, FALSE), 1)</f>
        <v>5.6508972775132758E-4</v>
      </c>
      <c r="AA6" s="7">
        <f>$B6 * IFERROR(VLOOKUP("electricity|NOx|Asthma symptoms cough", US_national_yearly!$D:$AM, 35, FALSE) / VLOOKUP("electricity|NOx|Asthma symptoms cough", US_national_yearly!$D:$AM, 10, FALSE), 1)</f>
        <v>5.6765186488679236E-4</v>
      </c>
      <c r="AB6" s="7">
        <f>$B6 * IFERROR(VLOOKUP("electricity|NOx|Asthma symptoms cough", US_national_yearly!$D:$AM, 36, FALSE) / VLOOKUP("electricity|NOx|Asthma symptoms cough", US_national_yearly!$D:$AM, 10, FALSE), 1)</f>
        <v>5.7021400202225724E-4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6.5291467109048894E-4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6.6187836092390152E-4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6.7084205075731431E-4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6.79805740590727E-4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6.8876943042413957E-4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6.96057385524341E-4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7.0334534062454232E-4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7.0605455076994963E-4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7.0876376091535671E-4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7.1147297106076402E-4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7.1418218120617111E-4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7.168913913515783E-4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7.1989317363185909E-4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7.2289495591213999E-4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7.2589673819242067E-4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7.2889852047270157E-4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7.3190030275298236E-4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7.3564530258507738E-4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7.3939030241717228E-4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7.431353022492673E-4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7.468803020813621E-4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7.5062530191345712E-4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7.5407559525521599E-4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7.5752588859697497E-4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7.6097618193873384E-4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7.6442647528049271E-4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7.6787676862225169E-4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9.9754031060574934E-4</v>
      </c>
      <c r="C8" s="7">
        <f>$B8 * IFERROR(VLOOKUP("electricity|NOx|Asthma symptoms wheeze", US_national_yearly!$D:$AM, 11, FALSE) / VLOOKUP("electricity|NOx|Asthma symptoms wheeze", US_national_yearly!$D:$AM, 10, FALSE), 1)</f>
        <v>1.0112352731343455E-3</v>
      </c>
      <c r="D8" s="7">
        <f>$B8 * IFERROR(VLOOKUP("electricity|NOx|Asthma symptoms wheeze", US_national_yearly!$D:$AM, 12, FALSE) / VLOOKUP("electricity|NOx|Asthma symptoms wheeze", US_national_yearly!$D:$AM, 10, FALSE), 1)</f>
        <v>1.0249302356629419E-3</v>
      </c>
      <c r="E8" s="7">
        <f>$B8 * IFERROR(VLOOKUP("electricity|NOx|Asthma symptoms wheeze", US_national_yearly!$D:$AM, 13, FALSE) / VLOOKUP("electricity|NOx|Asthma symptoms wheeze", US_national_yearly!$D:$AM, 10, FALSE), 1)</f>
        <v>1.0386251981915381E-3</v>
      </c>
      <c r="F8" s="7">
        <f>$B8 * IFERROR(VLOOKUP("electricity|NOx|Asthma symptoms wheeze", US_national_yearly!$D:$AM, 14, FALSE) / VLOOKUP("electricity|NOx|Asthma symptoms wheeze", US_national_yearly!$D:$AM, 10, FALSE), 1)</f>
        <v>1.0523201607201347E-3</v>
      </c>
      <c r="G8" s="7">
        <f>$B8 * IFERROR(VLOOKUP("electricity|NOx|Asthma symptoms wheeze", US_national_yearly!$D:$AM, 15, FALSE) / VLOOKUP("electricity|NOx|Asthma symptoms wheeze", US_national_yearly!$D:$AM, 10, FALSE), 1)</f>
        <v>1.0634548913910091E-3</v>
      </c>
      <c r="H8" s="7">
        <f>$B8 * IFERROR(VLOOKUP("electricity|NOx|Asthma symptoms wheeze", US_national_yearly!$D:$AM, 16, FALSE) / VLOOKUP("electricity|NOx|Asthma symptoms wheeze", US_national_yearly!$D:$AM, 10, FALSE), 1)</f>
        <v>1.0745896220618837E-3</v>
      </c>
      <c r="I8" s="7">
        <f>$B8 * IFERROR(VLOOKUP("electricity|NOx|Asthma symptoms wheeze", US_national_yearly!$D:$AM, 17, FALSE) / VLOOKUP("electricity|NOx|Asthma symptoms wheeze", US_national_yearly!$D:$AM, 10, FALSE), 1)</f>
        <v>1.0787288250394698E-3</v>
      </c>
      <c r="J8" s="7">
        <f>$B8 * IFERROR(VLOOKUP("electricity|NOx|Asthma symptoms wheeze", US_national_yearly!$D:$AM, 18, FALSE) / VLOOKUP("electricity|NOx|Asthma symptoms wheeze", US_national_yearly!$D:$AM, 10, FALSE), 1)</f>
        <v>1.082868028017056E-3</v>
      </c>
      <c r="K8" s="7">
        <f>$B8 * IFERROR(VLOOKUP("electricity|NOx|Asthma symptoms wheeze", US_national_yearly!$D:$AM, 19, FALSE) / VLOOKUP("electricity|NOx|Asthma symptoms wheeze", US_national_yearly!$D:$AM, 10, FALSE), 1)</f>
        <v>1.0870072309946425E-3</v>
      </c>
      <c r="L8" s="7">
        <f>$B8 * IFERROR(VLOOKUP("electricity|NOx|Asthma symptoms wheeze", US_national_yearly!$D:$AM, 20, FALSE) / VLOOKUP("electricity|NOx|Asthma symptoms wheeze", US_national_yearly!$D:$AM, 10, FALSE), 1)</f>
        <v>1.0911464339722287E-3</v>
      </c>
      <c r="M8" s="7">
        <f>$B8 * IFERROR(VLOOKUP("electricity|NOx|Asthma symptoms wheeze", US_national_yearly!$D:$AM, 21, FALSE) / VLOOKUP("electricity|NOx|Asthma symptoms wheeze", US_national_yearly!$D:$AM, 10, FALSE), 1)</f>
        <v>1.0952856369498146E-3</v>
      </c>
      <c r="N8" s="7">
        <f>$B8 * IFERROR(VLOOKUP("electricity|NOx|Asthma symptoms wheeze", US_national_yearly!$D:$AM, 22, FALSE) / VLOOKUP("electricity|NOx|Asthma symptoms wheeze", US_national_yearly!$D:$AM, 10, FALSE), 1)</f>
        <v>1.0998718393718967E-3</v>
      </c>
      <c r="O8" s="7">
        <f>$B8 * IFERROR(VLOOKUP("electricity|NOx|Asthma symptoms wheeze", US_national_yearly!$D:$AM, 23, FALSE) / VLOOKUP("electricity|NOx|Asthma symptoms wheeze", US_national_yearly!$D:$AM, 10, FALSE), 1)</f>
        <v>1.1044580417939791E-3</v>
      </c>
      <c r="P8" s="7">
        <f>$B8 * IFERROR(VLOOKUP("electricity|NOx|Asthma symptoms wheeze", US_national_yearly!$D:$AM, 24, FALSE) / VLOOKUP("electricity|NOx|Asthma symptoms wheeze", US_national_yearly!$D:$AM, 10, FALSE), 1)</f>
        <v>1.1090442442160612E-3</v>
      </c>
      <c r="Q8" s="7">
        <f>$B8 * IFERROR(VLOOKUP("electricity|NOx|Asthma symptoms wheeze", US_national_yearly!$D:$AM, 25, FALSE) / VLOOKUP("electricity|NOx|Asthma symptoms wheeze", US_national_yearly!$D:$AM, 10, FALSE), 1)</f>
        <v>1.1136304466381434E-3</v>
      </c>
      <c r="R8" s="7">
        <f>$B8 * IFERROR(VLOOKUP("electricity|NOx|Asthma symptoms wheeze", US_national_yearly!$D:$AM, 26, FALSE) / VLOOKUP("electricity|NOx|Asthma symptoms wheeze", US_national_yearly!$D:$AM, 10, FALSE), 1)</f>
        <v>1.1182166490602255E-3</v>
      </c>
      <c r="S8" s="7">
        <f>$B8 * IFERROR(VLOOKUP("electricity|NOx|Asthma symptoms wheeze", US_national_yearly!$D:$AM, 27, FALSE) / VLOOKUP("electricity|NOx|Asthma symptoms wheeze", US_national_yearly!$D:$AM, 10, FALSE), 1)</f>
        <v>1.1239383589172112E-3</v>
      </c>
      <c r="T8" s="7">
        <f>$B8 * IFERROR(VLOOKUP("electricity|NOx|Asthma symptoms wheeze", US_national_yearly!$D:$AM, 28, FALSE) / VLOOKUP("electricity|NOx|Asthma symptoms wheeze", US_national_yearly!$D:$AM, 10, FALSE), 1)</f>
        <v>1.1296600687741968E-3</v>
      </c>
      <c r="U8" s="7">
        <f>$B8 * IFERROR(VLOOKUP("electricity|NOx|Asthma symptoms wheeze", US_national_yearly!$D:$AM, 29, FALSE) / VLOOKUP("electricity|NOx|Asthma symptoms wheeze", US_national_yearly!$D:$AM, 10, FALSE), 1)</f>
        <v>1.1353817786311821E-3</v>
      </c>
      <c r="V8" s="7">
        <f>$B8 * IFERROR(VLOOKUP("electricity|NOx|Asthma symptoms wheeze", US_national_yearly!$D:$AM, 30, FALSE) / VLOOKUP("electricity|NOx|Asthma symptoms wheeze", US_national_yearly!$D:$AM, 10, FALSE), 1)</f>
        <v>1.1411034884881678E-3</v>
      </c>
      <c r="W8" s="7">
        <f>$B8 * IFERROR(VLOOKUP("electricity|NOx|Asthma symptoms wheeze", US_national_yearly!$D:$AM, 31, FALSE) / VLOOKUP("electricity|NOx|Asthma symptoms wheeze", US_national_yearly!$D:$AM, 10, FALSE), 1)</f>
        <v>1.1468251983451534E-3</v>
      </c>
      <c r="X8" s="7">
        <f>$B8 * IFERROR(VLOOKUP("electricity|NOx|Asthma symptoms wheeze", US_national_yearly!$D:$AM, 32, FALSE) / VLOOKUP("electricity|NOx|Asthma symptoms wheeze", US_national_yearly!$D:$AM, 10, FALSE), 1)</f>
        <v>1.1520966478289333E-3</v>
      </c>
      <c r="Y8" s="7">
        <f>$B8 * IFERROR(VLOOKUP("electricity|NOx|Asthma symptoms wheeze", US_national_yearly!$D:$AM, 33, FALSE) / VLOOKUP("electricity|NOx|Asthma symptoms wheeze", US_national_yearly!$D:$AM, 10, FALSE), 1)</f>
        <v>1.1573680973127132E-3</v>
      </c>
      <c r="Z8" s="7">
        <f>$B8 * IFERROR(VLOOKUP("electricity|NOx|Asthma symptoms wheeze", US_national_yearly!$D:$AM, 34, FALSE) / VLOOKUP("electricity|NOx|Asthma symptoms wheeze", US_national_yearly!$D:$AM, 10, FALSE), 1)</f>
        <v>1.1626395467964927E-3</v>
      </c>
      <c r="AA8" s="7">
        <f>$B8 * IFERROR(VLOOKUP("electricity|NOx|Asthma symptoms wheeze", US_national_yearly!$D:$AM, 35, FALSE) / VLOOKUP("electricity|NOx|Asthma symptoms wheeze", US_national_yearly!$D:$AM, 10, FALSE), 1)</f>
        <v>1.1679109962802728E-3</v>
      </c>
      <c r="AB8" s="7">
        <f>$B8 * IFERROR(VLOOKUP("electricity|NOx|Asthma symptoms wheeze", US_national_yearly!$D:$AM, 36, FALSE) / VLOOKUP("electricity|NOx|Asthma symptoms wheeze", US_national_yearly!$D:$AM, 10, FALSE), 1)</f>
        <v>1.1731824457640525E-3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1.6868612866450486E-5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1.7300646216544502E-5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1.7732679566638523E-5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1.8164712916732539E-5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1.8596746266826556E-5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1.9012645022509583E-5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1.9428543778192618E-5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1.9786182492763336E-5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2.0143821207334058E-5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2.0501459921904783E-5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2.0859098636475504E-5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2.121673735104623E-5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2.1461831653043662E-5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2.1706925955041099E-5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2.1952020257038532E-5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2.2197114559035968E-5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2.2442208861033404E-5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2.2581797885311196E-5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2.2721386909588994E-5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2.2860975933866786E-5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2.3000564958144581E-5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2.3140153982422372E-5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2.3241683444009069E-5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2.3343212905595758E-5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2.3444742367182455E-5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2.3546271828769147E-5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2.3647801290355837E-5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9.9552669006602352E-5</v>
      </c>
      <c r="C13" s="7">
        <f>$B13 * IFERROR(VLOOKUP("electricity|NOx|Non-fatal heart attacks", US_national_yearly!$D:$AM, 11, FALSE) / VLOOKUP("electricity|NOx|Non-fatal heart attacks", US_national_yearly!$D:$AM, 10, FALSE), 1)</f>
        <v>1.0240955634451981E-4</v>
      </c>
      <c r="D13" s="7">
        <f>$B13 * IFERROR(VLOOKUP("electricity|NOx|Non-fatal heart attacks", US_national_yearly!$D:$AM, 12, FALSE) / VLOOKUP("electricity|NOx|Non-fatal heart attacks", US_national_yearly!$D:$AM, 10, FALSE), 1)</f>
        <v>1.0526644368243727E-4</v>
      </c>
      <c r="E13" s="7">
        <f>$B13 * IFERROR(VLOOKUP("electricity|NOx|Non-fatal heart attacks", US_national_yearly!$D:$AM, 13, FALSE) / VLOOKUP("electricity|NOx|Non-fatal heart attacks", US_national_yearly!$D:$AM, 10, FALSE), 1)</f>
        <v>1.0812333102035474E-4</v>
      </c>
      <c r="F13" s="7">
        <f>$B13 * IFERROR(VLOOKUP("electricity|NOx|Non-fatal heart attacks", US_national_yearly!$D:$AM, 14, FALSE) / VLOOKUP("electricity|NOx|Non-fatal heart attacks", US_national_yearly!$D:$AM, 10, FALSE), 1)</f>
        <v>1.1098021835827222E-4</v>
      </c>
      <c r="G13" s="7">
        <f>$B13 * IFERROR(VLOOKUP("electricity|NOx|Non-fatal heart attacks", US_national_yearly!$D:$AM, 15, FALSE) / VLOOKUP("electricity|NOx|Non-fatal heart attacks", US_national_yearly!$D:$AM, 10, FALSE), 1)</f>
        <v>1.1367151584463157E-4</v>
      </c>
      <c r="H13" s="7">
        <f>$B13 * IFERROR(VLOOKUP("electricity|NOx|Non-fatal heart attacks", US_national_yearly!$D:$AM, 16, FALSE) / VLOOKUP("electricity|NOx|Non-fatal heart attacks", US_national_yearly!$D:$AM, 10, FALSE), 1)</f>
        <v>1.1636281333099092E-4</v>
      </c>
      <c r="I13" s="7">
        <f>$B13 * IFERROR(VLOOKUP("electricity|NOx|Non-fatal heart attacks", US_national_yearly!$D:$AM, 17, FALSE) / VLOOKUP("electricity|NOx|Non-fatal heart attacks", US_national_yearly!$D:$AM, 10, FALSE), 1)</f>
        <v>1.1852096163832784E-4</v>
      </c>
      <c r="J13" s="7">
        <f>$B13 * IFERROR(VLOOKUP("electricity|NOx|Non-fatal heart attacks", US_national_yearly!$D:$AM, 18, FALSE) / VLOOKUP("electricity|NOx|Non-fatal heart attacks", US_national_yearly!$D:$AM, 10, FALSE), 1)</f>
        <v>1.2067910994566476E-4</v>
      </c>
      <c r="K13" s="7">
        <f>$B13 * IFERROR(VLOOKUP("electricity|NOx|Non-fatal heart attacks", US_national_yearly!$D:$AM, 19, FALSE) / VLOOKUP("electricity|NOx|Non-fatal heart attacks", US_national_yearly!$D:$AM, 10, FALSE), 1)</f>
        <v>1.2283725825300157E-4</v>
      </c>
      <c r="L13" s="7">
        <f>$B13 * IFERROR(VLOOKUP("electricity|NOx|Non-fatal heart attacks", US_national_yearly!$D:$AM, 20, FALSE) / VLOOKUP("electricity|NOx|Non-fatal heart attacks", US_national_yearly!$D:$AM, 10, FALSE), 1)</f>
        <v>1.2499540656033849E-4</v>
      </c>
      <c r="M13" s="7">
        <f>$B13 * IFERROR(VLOOKUP("electricity|NOx|Non-fatal heart attacks", US_national_yearly!$D:$AM, 21, FALSE) / VLOOKUP("electricity|NOx|Non-fatal heart attacks", US_national_yearly!$D:$AM, 10, FALSE), 1)</f>
        <v>1.2715355486767543E-4</v>
      </c>
      <c r="N13" s="7">
        <f>$B13 * IFERROR(VLOOKUP("electricity|NOx|Non-fatal heart attacks", US_national_yearly!$D:$AM, 22, FALSE) / VLOOKUP("electricity|NOx|Non-fatal heart attacks", US_national_yearly!$D:$AM, 10, FALSE), 1)</f>
        <v>1.2848452976962568E-4</v>
      </c>
      <c r="O13" s="7">
        <f>$B13 * IFERROR(VLOOKUP("electricity|NOx|Non-fatal heart attacks", US_national_yearly!$D:$AM, 23, FALSE) / VLOOKUP("electricity|NOx|Non-fatal heart attacks", US_national_yearly!$D:$AM, 10, FALSE), 1)</f>
        <v>1.2981550467157596E-4</v>
      </c>
      <c r="P13" s="7">
        <f>$B13 * IFERROR(VLOOKUP("electricity|NOx|Non-fatal heart attacks", US_national_yearly!$D:$AM, 24, FALSE) / VLOOKUP("electricity|NOx|Non-fatal heart attacks", US_national_yearly!$D:$AM, 10, FALSE), 1)</f>
        <v>1.3114647957352624E-4</v>
      </c>
      <c r="Q13" s="7">
        <f>$B13 * IFERROR(VLOOKUP("electricity|NOx|Non-fatal heart attacks", US_national_yearly!$D:$AM, 25, FALSE) / VLOOKUP("electricity|NOx|Non-fatal heart attacks", US_national_yearly!$D:$AM, 10, FALSE), 1)</f>
        <v>1.3247745447547652E-4</v>
      </c>
      <c r="R13" s="7">
        <f>$B13 * IFERROR(VLOOKUP("electricity|NOx|Non-fatal heart attacks", US_national_yearly!$D:$AM, 26, FALSE) / VLOOKUP("electricity|NOx|Non-fatal heart attacks", US_national_yearly!$D:$AM, 10, FALSE), 1)</f>
        <v>1.3380842937742678E-4</v>
      </c>
      <c r="S13" s="7">
        <f>$B13 * IFERROR(VLOOKUP("electricity|NOx|Non-fatal heart attacks", US_national_yearly!$D:$AM, 27, FALSE) / VLOOKUP("electricity|NOx|Non-fatal heart attacks", US_national_yearly!$D:$AM, 10, FALSE), 1)</f>
        <v>1.3445873928035406E-4</v>
      </c>
      <c r="T13" s="7">
        <f>$B13 * IFERROR(VLOOKUP("electricity|NOx|Non-fatal heart attacks", US_national_yearly!$D:$AM, 28, FALSE) / VLOOKUP("electricity|NOx|Non-fatal heart attacks", US_national_yearly!$D:$AM, 10, FALSE), 1)</f>
        <v>1.3510904918328129E-4</v>
      </c>
      <c r="U13" s="7">
        <f>$B13 * IFERROR(VLOOKUP("electricity|NOx|Non-fatal heart attacks", US_national_yearly!$D:$AM, 29, FALSE) / VLOOKUP("electricity|NOx|Non-fatal heart attacks", US_national_yearly!$D:$AM, 10, FALSE), 1)</f>
        <v>1.357593590862086E-4</v>
      </c>
      <c r="V13" s="7">
        <f>$B13 * IFERROR(VLOOKUP("electricity|NOx|Non-fatal heart attacks", US_national_yearly!$D:$AM, 30, FALSE) / VLOOKUP("electricity|NOx|Non-fatal heart attacks", US_national_yearly!$D:$AM, 10, FALSE), 1)</f>
        <v>1.3640966898913583E-4</v>
      </c>
      <c r="W13" s="7">
        <f>$B13 * IFERROR(VLOOKUP("electricity|NOx|Non-fatal heart attacks", US_national_yearly!$D:$AM, 31, FALSE) / VLOOKUP("electricity|NOx|Non-fatal heart attacks", US_national_yearly!$D:$AM, 10, FALSE), 1)</f>
        <v>1.3705997889206314E-4</v>
      </c>
      <c r="X13" s="7">
        <f>$B13 * IFERROR(VLOOKUP("electricity|NOx|Non-fatal heart attacks", US_national_yearly!$D:$AM, 32, FALSE) / VLOOKUP("electricity|NOx|Non-fatal heart attacks", US_national_yearly!$D:$AM, 10, FALSE), 1)</f>
        <v>1.3751387792223819E-4</v>
      </c>
      <c r="Y13" s="7">
        <f>$B13 * IFERROR(VLOOKUP("electricity|NOx|Non-fatal heart attacks", US_national_yearly!$D:$AM, 33, FALSE) / VLOOKUP("electricity|NOx|Non-fatal heart attacks", US_national_yearly!$D:$AM, 10, FALSE), 1)</f>
        <v>1.3796777695241328E-4</v>
      </c>
      <c r="Z13" s="7">
        <f>$B13 * IFERROR(VLOOKUP("electricity|NOx|Non-fatal heart attacks", US_national_yearly!$D:$AM, 34, FALSE) / VLOOKUP("electricity|NOx|Non-fatal heart attacks", US_national_yearly!$D:$AM, 10, FALSE), 1)</f>
        <v>1.3842167598258835E-4</v>
      </c>
      <c r="AA13" s="7">
        <f>$B13 * IFERROR(VLOOKUP("electricity|NOx|Non-fatal heart attacks", US_national_yearly!$D:$AM, 35, FALSE) / VLOOKUP("electricity|NOx|Non-fatal heart attacks", US_national_yearly!$D:$AM, 10, FALSE), 1)</f>
        <v>1.388755750127634E-4</v>
      </c>
      <c r="AB13" s="7">
        <f>$B13 * IFERROR(VLOOKUP("electricity|NOx|Non-fatal heart attacks", US_national_yearly!$D:$AM, 36, FALSE) / VLOOKUP("electricity|NOx|Non-fatal heart attacks", US_national_yearly!$D:$AM, 10, FALSE), 1)</f>
        <v>1.393294740429385E-4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6.2785797407782257E-2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6.2882061743881765E-2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6.2978326079981259E-2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6.3074590416080767E-2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6.3170854752180289E-2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6.3338773394647108E-2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6.3506692037113927E-2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6.3838917934064474E-2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6.4171143831014979E-2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6.4503369727965512E-2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6.4835595624916031E-2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6.5167821521866565E-2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6.5648248082594271E-2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6.612867464332195E-2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6.6609101204049628E-2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6.7089527764777335E-2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6.7569954325505027E-2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6.8054014026779783E-2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6.8538073728054552E-2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6.9022133429329321E-2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6.9506193130604077E-2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6.9990252831878846E-2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7.0399623887039978E-2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7.0808994942201067E-2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7.1218365997362254E-2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7.1627737052523385E-2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7.2037108107684503E-2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1.061631518325264E-2</v>
      </c>
      <c r="C15" s="7">
        <f>$B15 * IFERROR(VLOOKUP("electricity|NOx|Work loss days", US_national_yearly!$D:$AM, 11, FALSE) / VLOOKUP("electricity|NOx|Work loss days", US_national_yearly!$D:$AM, 10, FALSE), 1)</f>
        <v>1.0639993360386185E-2</v>
      </c>
      <c r="D15" s="7">
        <f>$B15 * IFERROR(VLOOKUP("electricity|NOx|Work loss days", US_national_yearly!$D:$AM, 12, FALSE) / VLOOKUP("electricity|NOx|Work loss days", US_national_yearly!$D:$AM, 10, FALSE), 1)</f>
        <v>1.066367153751973E-2</v>
      </c>
      <c r="E15" s="7">
        <f>$B15 * IFERROR(VLOOKUP("electricity|NOx|Work loss days", US_national_yearly!$D:$AM, 13, FALSE) / VLOOKUP("electricity|NOx|Work loss days", US_national_yearly!$D:$AM, 10, FALSE), 1)</f>
        <v>1.0687349714653273E-2</v>
      </c>
      <c r="F15" s="7">
        <f>$B15 * IFERROR(VLOOKUP("electricity|NOx|Work loss days", US_national_yearly!$D:$AM, 14, FALSE) / VLOOKUP("electricity|NOx|Work loss days", US_national_yearly!$D:$AM, 10, FALSE), 1)</f>
        <v>1.0711027891786818E-2</v>
      </c>
      <c r="G15" s="7">
        <f>$B15 * IFERROR(VLOOKUP("electricity|NOx|Work loss days", US_national_yearly!$D:$AM, 15, FALSE) / VLOOKUP("electricity|NOx|Work loss days", US_national_yearly!$D:$AM, 10, FALSE), 1)</f>
        <v>1.0744408693516448E-2</v>
      </c>
      <c r="H15" s="7">
        <f>$B15 * IFERROR(VLOOKUP("electricity|NOx|Work loss days", US_national_yearly!$D:$AM, 16, FALSE) / VLOOKUP("electricity|NOx|Work loss days", US_national_yearly!$D:$AM, 10, FALSE), 1)</f>
        <v>1.0777789495246076E-2</v>
      </c>
      <c r="I15" s="7">
        <f>$B15 * IFERROR(VLOOKUP("electricity|NOx|Work loss days", US_national_yearly!$D:$AM, 17, FALSE) / VLOOKUP("electricity|NOx|Work loss days", US_national_yearly!$D:$AM, 10, FALSE), 1)</f>
        <v>1.083199095626098E-2</v>
      </c>
      <c r="J15" s="7">
        <f>$B15 * IFERROR(VLOOKUP("electricity|NOx|Work loss days", US_national_yearly!$D:$AM, 18, FALSE) / VLOOKUP("electricity|NOx|Work loss days", US_national_yearly!$D:$AM, 10, FALSE), 1)</f>
        <v>1.0886192417275883E-2</v>
      </c>
      <c r="K15" s="7">
        <f>$B15 * IFERROR(VLOOKUP("electricity|NOx|Work loss days", US_national_yearly!$D:$AM, 19, FALSE) / VLOOKUP("electricity|NOx|Work loss days", US_national_yearly!$D:$AM, 10, FALSE), 1)</f>
        <v>1.0940393878290783E-2</v>
      </c>
      <c r="L15" s="7">
        <f>$B15 * IFERROR(VLOOKUP("electricity|NOx|Work loss days", US_national_yearly!$D:$AM, 20, FALSE) / VLOOKUP("electricity|NOx|Work loss days", US_national_yearly!$D:$AM, 10, FALSE), 1)</f>
        <v>1.0994595339305685E-2</v>
      </c>
      <c r="M15" s="7">
        <f>$B15 * IFERROR(VLOOKUP("electricity|NOx|Work loss days", US_national_yearly!$D:$AM, 21, FALSE) / VLOOKUP("electricity|NOx|Work loss days", US_national_yearly!$D:$AM, 10, FALSE), 1)</f>
        <v>1.1048796800320587E-2</v>
      </c>
      <c r="N15" s="7">
        <f>$B15 * IFERROR(VLOOKUP("electricity|NOx|Work loss days", US_national_yearly!$D:$AM, 22, FALSE) / VLOOKUP("electricity|NOx|Work loss days", US_national_yearly!$D:$AM, 10, FALSE), 1)</f>
        <v>1.1120308531130009E-2</v>
      </c>
      <c r="O15" s="7">
        <f>$B15 * IFERROR(VLOOKUP("electricity|NOx|Work loss days", US_national_yearly!$D:$AM, 23, FALSE) / VLOOKUP("electricity|NOx|Work loss days", US_national_yearly!$D:$AM, 10, FALSE), 1)</f>
        <v>1.1191820261939428E-2</v>
      </c>
      <c r="P15" s="7">
        <f>$B15 * IFERROR(VLOOKUP("electricity|NOx|Work loss days", US_national_yearly!$D:$AM, 24, FALSE) / VLOOKUP("electricity|NOx|Work loss days", US_national_yearly!$D:$AM, 10, FALSE), 1)</f>
        <v>1.126333199274885E-2</v>
      </c>
      <c r="Q15" s="7">
        <f>$B15 * IFERROR(VLOOKUP("electricity|NOx|Work loss days", US_national_yearly!$D:$AM, 25, FALSE) / VLOOKUP("electricity|NOx|Work loss days", US_national_yearly!$D:$AM, 10, FALSE), 1)</f>
        <v>1.1334843723558271E-2</v>
      </c>
      <c r="R15" s="7">
        <f>$B15 * IFERROR(VLOOKUP("electricity|NOx|Work loss days", US_national_yearly!$D:$AM, 26, FALSE) / VLOOKUP("electricity|NOx|Work loss days", US_national_yearly!$D:$AM, 10, FALSE), 1)</f>
        <v>1.1406355454367689E-2</v>
      </c>
      <c r="S15" s="7">
        <f>$B15 * IFERROR(VLOOKUP("electricity|NOx|Work loss days", US_national_yearly!$D:$AM, 27, FALSE) / VLOOKUP("electricity|NOx|Work loss days", US_national_yearly!$D:$AM, 10, FALSE), 1)</f>
        <v>1.148649345505348E-2</v>
      </c>
      <c r="T15" s="7">
        <f>$B15 * IFERROR(VLOOKUP("electricity|NOx|Work loss days", US_national_yearly!$D:$AM, 28, FALSE) / VLOOKUP("electricity|NOx|Work loss days", US_national_yearly!$D:$AM, 10, FALSE), 1)</f>
        <v>1.1566631455739267E-2</v>
      </c>
      <c r="U15" s="7">
        <f>$B15 * IFERROR(VLOOKUP("electricity|NOx|Work loss days", US_national_yearly!$D:$AM, 29, FALSE) / VLOOKUP("electricity|NOx|Work loss days", US_national_yearly!$D:$AM, 10, FALSE), 1)</f>
        <v>1.1646769456425055E-2</v>
      </c>
      <c r="V15" s="7">
        <f>$B15 * IFERROR(VLOOKUP("electricity|NOx|Work loss days", US_national_yearly!$D:$AM, 30, FALSE) / VLOOKUP("electricity|NOx|Work loss days", US_national_yearly!$D:$AM, 10, FALSE), 1)</f>
        <v>1.1726907457110844E-2</v>
      </c>
      <c r="W15" s="7">
        <f>$B15 * IFERROR(VLOOKUP("electricity|NOx|Work loss days", US_national_yearly!$D:$AM, 31, FALSE) / VLOOKUP("electricity|NOx|Work loss days", US_national_yearly!$D:$AM, 10, FALSE), 1)</f>
        <v>1.1807045457796634E-2</v>
      </c>
      <c r="X15" s="7">
        <f>$B15 * IFERROR(VLOOKUP("electricity|NOx|Work loss days", US_national_yearly!$D:$AM, 32, FALSE) / VLOOKUP("electricity|NOx|Work loss days", US_national_yearly!$D:$AM, 10, FALSE), 1)</f>
        <v>1.1876902099963862E-2</v>
      </c>
      <c r="Y15" s="7">
        <f>$B15 * IFERROR(VLOOKUP("electricity|NOx|Work loss days", US_national_yearly!$D:$AM, 33, FALSE) / VLOOKUP("electricity|NOx|Work loss days", US_national_yearly!$D:$AM, 10, FALSE), 1)</f>
        <v>1.1946758742131091E-2</v>
      </c>
      <c r="Z15" s="7">
        <f>$B15 * IFERROR(VLOOKUP("electricity|NOx|Work loss days", US_national_yearly!$D:$AM, 34, FALSE) / VLOOKUP("electricity|NOx|Work loss days", US_national_yearly!$D:$AM, 10, FALSE), 1)</f>
        <v>1.201661538429832E-2</v>
      </c>
      <c r="AA15" s="7">
        <f>$B15 * IFERROR(VLOOKUP("electricity|NOx|Work loss days", US_national_yearly!$D:$AM, 35, FALSE) / VLOOKUP("electricity|NOx|Work loss days", US_national_yearly!$D:$AM, 10, FALSE), 1)</f>
        <v>1.2086472026465551E-2</v>
      </c>
      <c r="AB15" s="7">
        <f>$B15 * IFERROR(VLOOKUP("electricity|NOx|Work loss days", US_national_yearly!$D:$AM, 36, FALSE) / VLOOKUP("electricity|NOx|Work loss days", US_national_yearly!$D:$AM, 10, FALSE), 1)</f>
        <v>1.215632866863278E-2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2.5733687319829488E-5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2.6491715113427192E-5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2.7249742907024902E-5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2.8007770700622605E-5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2.8765798494220316E-5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2.949166896243505E-5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3.0217539430649785E-5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3.0837107137647064E-5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3.145667484464435E-5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3.2076242551641636E-5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3.2695810258638922E-5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3.3315377965636208E-5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3.371299924878853E-5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3.4110620531940858E-5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3.4508241815093186E-5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3.4905863098245508E-5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3.5303484381397836E-5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3.5499160822194436E-5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3.5694837262991028E-5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3.5890513703787628E-5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3.6086190144584227E-5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3.6281866585380827E-5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3.6399142908851875E-5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3.6516419232322916E-5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3.6633695555793964E-5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3.6750971879265012E-5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3.6868248202736054E-5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2.1248187549119967E-3</v>
      </c>
      <c r="C2" s="7">
        <f>$B2 * IFERROR(VLOOKUP("electricity|SO2|Premature mortality", US_national_yearly!$D:$AM, 11, FALSE) / VLOOKUP("electricity|SO2|Premature mortality", US_national_yearly!$D:$AM, 10, FALSE), 1)</f>
        <v>2.1520594215594922E-3</v>
      </c>
      <c r="D2" s="7">
        <f>$B2 * IFERROR(VLOOKUP("electricity|SO2|Premature mortality", US_national_yearly!$D:$AM, 12, FALSE) / VLOOKUP("electricity|SO2|Premature mortality", US_national_yearly!$D:$AM, 10, FALSE), 1)</f>
        <v>2.1793000882069868E-3</v>
      </c>
      <c r="E2" s="7">
        <f>$B2 * IFERROR(VLOOKUP("electricity|SO2|Premature mortality", US_national_yearly!$D:$AM, 13, FALSE) / VLOOKUP("electricity|SO2|Premature mortality", US_national_yearly!$D:$AM, 10, FALSE), 1)</f>
        <v>2.2065407548544822E-3</v>
      </c>
      <c r="F2" s="7">
        <f>$B2 * IFERROR(VLOOKUP("electricity|SO2|Premature mortality", US_national_yearly!$D:$AM, 14, FALSE) / VLOOKUP("electricity|SO2|Premature mortality", US_national_yearly!$D:$AM, 10, FALSE), 1)</f>
        <v>2.2337814215019768E-3</v>
      </c>
      <c r="G2" s="7">
        <f>$B2 * IFERROR(VLOOKUP("electricity|SO2|Premature mortality", US_national_yearly!$D:$AM, 15, FALSE) / VLOOKUP("electricity|SO2|Premature mortality", US_national_yearly!$D:$AM, 10, FALSE), 1)</f>
        <v>2.286257871576981E-3</v>
      </c>
      <c r="H2" s="7">
        <f>$B2 * IFERROR(VLOOKUP("electricity|SO2|Premature mortality", US_national_yearly!$D:$AM, 16, FALSE) / VLOOKUP("electricity|SO2|Premature mortality", US_national_yearly!$D:$AM, 10, FALSE), 1)</f>
        <v>2.3387343216519844E-3</v>
      </c>
      <c r="I2" s="7">
        <f>$B2 * IFERROR(VLOOKUP("electricity|SO2|Premature mortality", US_national_yearly!$D:$AM, 17, FALSE) / VLOOKUP("electricity|SO2|Premature mortality", US_national_yearly!$D:$AM, 10, FALSE), 1)</f>
        <v>2.3740582204127255E-3</v>
      </c>
      <c r="J2" s="7">
        <f>$B2 * IFERROR(VLOOKUP("electricity|SO2|Premature mortality", US_national_yearly!$D:$AM, 18, FALSE) / VLOOKUP("electricity|SO2|Premature mortality", US_national_yearly!$D:$AM, 10, FALSE), 1)</f>
        <v>2.4093821191734665E-3</v>
      </c>
      <c r="K2" s="7">
        <f>$B2 * IFERROR(VLOOKUP("electricity|SO2|Premature mortality", US_national_yearly!$D:$AM, 19, FALSE) / VLOOKUP("electricity|SO2|Premature mortality", US_national_yearly!$D:$AM, 10, FALSE), 1)</f>
        <v>2.4447060179342067E-3</v>
      </c>
      <c r="L2" s="7">
        <f>$B2 * IFERROR(VLOOKUP("electricity|SO2|Premature mortality", US_national_yearly!$D:$AM, 20, FALSE) / VLOOKUP("electricity|SO2|Premature mortality", US_national_yearly!$D:$AM, 10, FALSE), 1)</f>
        <v>2.4800299166949482E-3</v>
      </c>
      <c r="M2" s="7">
        <f>$B2 * IFERROR(VLOOKUP("electricity|SO2|Premature mortality", US_national_yearly!$D:$AM, 21, FALSE) / VLOOKUP("electricity|SO2|Premature mortality", US_national_yearly!$D:$AM, 10, FALSE), 1)</f>
        <v>2.5153538154556888E-3</v>
      </c>
      <c r="N2" s="7">
        <f>$B2 * IFERROR(VLOOKUP("electricity|SO2|Premature mortality", US_national_yearly!$D:$AM, 22, FALSE) / VLOOKUP("electricity|SO2|Premature mortality", US_national_yearly!$D:$AM, 10, FALSE), 1)</f>
        <v>2.5436631048436865E-3</v>
      </c>
      <c r="O2" s="7">
        <f>$B2 * IFERROR(VLOOKUP("electricity|SO2|Premature mortality", US_national_yearly!$D:$AM, 23, FALSE) / VLOOKUP("electricity|SO2|Premature mortality", US_national_yearly!$D:$AM, 10, FALSE), 1)</f>
        <v>2.5719723942316847E-3</v>
      </c>
      <c r="P2" s="7">
        <f>$B2 * IFERROR(VLOOKUP("electricity|SO2|Premature mortality", US_national_yearly!$D:$AM, 24, FALSE) / VLOOKUP("electricity|SO2|Premature mortality", US_national_yearly!$D:$AM, 10, FALSE), 1)</f>
        <v>2.600281683619682E-3</v>
      </c>
      <c r="Q2" s="7">
        <f>$B2 * IFERROR(VLOOKUP("electricity|SO2|Premature mortality", US_national_yearly!$D:$AM, 25, FALSE) / VLOOKUP("electricity|SO2|Premature mortality", US_national_yearly!$D:$AM, 10, FALSE), 1)</f>
        <v>2.6285909730076802E-3</v>
      </c>
      <c r="R2" s="7">
        <f>$B2 * IFERROR(VLOOKUP("electricity|SO2|Premature mortality", US_national_yearly!$D:$AM, 26, FALSE) / VLOOKUP("electricity|SO2|Premature mortality", US_national_yearly!$D:$AM, 10, FALSE), 1)</f>
        <v>2.6569002623956779E-3</v>
      </c>
      <c r="S2" s="7">
        <f>$B2 * IFERROR(VLOOKUP("electricity|SO2|Premature mortality", US_national_yearly!$D:$AM, 27, FALSE) / VLOOKUP("electricity|SO2|Premature mortality", US_national_yearly!$D:$AM, 10, FALSE), 1)</f>
        <v>2.6731308049032947E-3</v>
      </c>
      <c r="T2" s="7">
        <f>$B2 * IFERROR(VLOOKUP("electricity|SO2|Premature mortality", US_national_yearly!$D:$AM, 28, FALSE) / VLOOKUP("electricity|SO2|Premature mortality", US_national_yearly!$D:$AM, 10, FALSE), 1)</f>
        <v>2.6893613474109125E-3</v>
      </c>
      <c r="U2" s="7">
        <f>$B2 * IFERROR(VLOOKUP("electricity|SO2|Premature mortality", US_national_yearly!$D:$AM, 29, FALSE) / VLOOKUP("electricity|SO2|Premature mortality", US_national_yearly!$D:$AM, 10, FALSE), 1)</f>
        <v>2.7055918899185293E-3</v>
      </c>
      <c r="V2" s="7">
        <f>$B2 * IFERROR(VLOOKUP("electricity|SO2|Premature mortality", US_national_yearly!$D:$AM, 30, FALSE) / VLOOKUP("electricity|SO2|Premature mortality", US_national_yearly!$D:$AM, 10, FALSE), 1)</f>
        <v>2.7218224324261466E-3</v>
      </c>
      <c r="W2" s="7">
        <f>$B2 * IFERROR(VLOOKUP("electricity|SO2|Premature mortality", US_national_yearly!$D:$AM, 31, FALSE) / VLOOKUP("electricity|SO2|Premature mortality", US_national_yearly!$D:$AM, 10, FALSE), 1)</f>
        <v>2.7380529749337639E-3</v>
      </c>
      <c r="X2" s="7">
        <f>$B2 * IFERROR(VLOOKUP("electricity|SO2|Premature mortality", US_national_yearly!$D:$AM, 32, FALSE) / VLOOKUP("electricity|SO2|Premature mortality", US_national_yearly!$D:$AM, 10, FALSE), 1)</f>
        <v>2.7428352339787304E-3</v>
      </c>
      <c r="Y2" s="7">
        <f>$B2 * IFERROR(VLOOKUP("electricity|SO2|Premature mortality", US_national_yearly!$D:$AM, 33, FALSE) / VLOOKUP("electricity|SO2|Premature mortality", US_national_yearly!$D:$AM, 10, FALSE), 1)</f>
        <v>2.7476174930236965E-3</v>
      </c>
      <c r="Z2" s="7">
        <f>$B2 * IFERROR(VLOOKUP("electricity|SO2|Premature mortality", US_national_yearly!$D:$AM, 34, FALSE) / VLOOKUP("electricity|SO2|Premature mortality", US_national_yearly!$D:$AM, 10, FALSE), 1)</f>
        <v>2.752399752068663E-3</v>
      </c>
      <c r="AA2" s="7">
        <f>$B2 * IFERROR(VLOOKUP("electricity|SO2|Premature mortality", US_national_yearly!$D:$AM, 35, FALSE) / VLOOKUP("electricity|SO2|Premature mortality", US_national_yearly!$D:$AM, 10, FALSE), 1)</f>
        <v>2.7571820111136295E-3</v>
      </c>
      <c r="AB2" s="7">
        <f>$B2 * IFERROR(VLOOKUP("electricity|SO2|Premature mortality", US_national_yearly!$D:$AM, 36, FALSE) / VLOOKUP("electricity|SO2|Premature mortality", US_national_yearly!$D:$AM, 10, FALSE), 1)</f>
        <v>2.7619642701585956E-3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5.5528077050034312E-6</v>
      </c>
      <c r="C3" s="7">
        <f>$B3 * IFERROR(VLOOKUP("electricity|SO2|Infant mortality", US_national_yearly!$D:$AM, 11, FALSE) / VLOOKUP("electricity|SO2|Infant mortality", US_national_yearly!$D:$AM, 10, FALSE), 1)</f>
        <v>5.5058970378122049E-6</v>
      </c>
      <c r="D3" s="7">
        <f>$B3 * IFERROR(VLOOKUP("electricity|SO2|Infant mortality", US_national_yearly!$D:$AM, 12, FALSE) / VLOOKUP("electricity|SO2|Infant mortality", US_national_yearly!$D:$AM, 10, FALSE), 1)</f>
        <v>5.4589863706209777E-6</v>
      </c>
      <c r="E3" s="7">
        <f>$B3 * IFERROR(VLOOKUP("electricity|SO2|Infant mortality", US_national_yearly!$D:$AM, 13, FALSE) / VLOOKUP("electricity|SO2|Infant mortality", US_national_yearly!$D:$AM, 10, FALSE), 1)</f>
        <v>5.4120757034297505E-6</v>
      </c>
      <c r="F3" s="7">
        <f>$B3 * IFERROR(VLOOKUP("electricity|SO2|Infant mortality", US_national_yearly!$D:$AM, 14, FALSE) / VLOOKUP("electricity|SO2|Infant mortality", US_national_yearly!$D:$AM, 10, FALSE), 1)</f>
        <v>5.365165036238525E-6</v>
      </c>
      <c r="G3" s="7">
        <f>$B3 * IFERROR(VLOOKUP("electricity|SO2|Infant mortality", US_national_yearly!$D:$AM, 15, FALSE) / VLOOKUP("electricity|SO2|Infant mortality", US_national_yearly!$D:$AM, 10, FALSE), 1)</f>
        <v>3.5681126714439148E-6</v>
      </c>
      <c r="H3" s="7">
        <f>$B3 * IFERROR(VLOOKUP("electricity|SO2|Infant mortality", US_national_yearly!$D:$AM, 16, FALSE) / VLOOKUP("electricity|SO2|Infant mortality", US_national_yearly!$D:$AM, 10, FALSE), 1)</f>
        <v>1.7710603066493042E-6</v>
      </c>
      <c r="I3" s="7">
        <f>$B3 * IFERROR(VLOOKUP("electricity|SO2|Infant mortality", US_national_yearly!$D:$AM, 17, FALSE) / VLOOKUP("electricity|SO2|Infant mortality", US_national_yearly!$D:$AM, 10, FALSE), 1)</f>
        <v>1.759729982626024E-6</v>
      </c>
      <c r="J3" s="7">
        <f>$B3 * IFERROR(VLOOKUP("electricity|SO2|Infant mortality", US_national_yearly!$D:$AM, 18, FALSE) / VLOOKUP("electricity|SO2|Infant mortality", US_national_yearly!$D:$AM, 10, FALSE), 1)</f>
        <v>1.7483996586027434E-6</v>
      </c>
      <c r="K3" s="7">
        <f>$B3 * IFERROR(VLOOKUP("electricity|SO2|Infant mortality", US_national_yearly!$D:$AM, 19, FALSE) / VLOOKUP("electricity|SO2|Infant mortality", US_national_yearly!$D:$AM, 10, FALSE), 1)</f>
        <v>1.7370693345794635E-6</v>
      </c>
      <c r="L3" s="7">
        <f>$B3 * IFERROR(VLOOKUP("electricity|SO2|Infant mortality", US_national_yearly!$D:$AM, 20, FALSE) / VLOOKUP("electricity|SO2|Infant mortality", US_national_yearly!$D:$AM, 10, FALSE), 1)</f>
        <v>1.7257390105561829E-6</v>
      </c>
      <c r="M3" s="7">
        <f>$B3 * IFERROR(VLOOKUP("electricity|SO2|Infant mortality", US_national_yearly!$D:$AM, 21, FALSE) / VLOOKUP("electricity|SO2|Infant mortality", US_national_yearly!$D:$AM, 10, FALSE), 1)</f>
        <v>1.7144086865329027E-6</v>
      </c>
      <c r="N3" s="7">
        <f>$B3 * IFERROR(VLOOKUP("electricity|SO2|Infant mortality", US_national_yearly!$D:$AM, 22, FALSE) / VLOOKUP("electricity|SO2|Infant mortality", US_national_yearly!$D:$AM, 10, FALSE), 1)</f>
        <v>1.7072292911507685E-6</v>
      </c>
      <c r="O3" s="7">
        <f>$B3 * IFERROR(VLOOKUP("electricity|SO2|Infant mortality", US_national_yearly!$D:$AM, 23, FALSE) / VLOOKUP("electricity|SO2|Infant mortality", US_national_yearly!$D:$AM, 10, FALSE), 1)</f>
        <v>1.700049895768634E-6</v>
      </c>
      <c r="P3" s="7">
        <f>$B3 * IFERROR(VLOOKUP("electricity|SO2|Infant mortality", US_national_yearly!$D:$AM, 24, FALSE) / VLOOKUP("electricity|SO2|Infant mortality", US_national_yearly!$D:$AM, 10, FALSE), 1)</f>
        <v>1.6928705003864995E-6</v>
      </c>
      <c r="Q3" s="7">
        <f>$B3 * IFERROR(VLOOKUP("electricity|SO2|Infant mortality", US_national_yearly!$D:$AM, 25, FALSE) / VLOOKUP("electricity|SO2|Infant mortality", US_national_yearly!$D:$AM, 10, FALSE), 1)</f>
        <v>1.6856911050043652E-6</v>
      </c>
      <c r="R3" s="7">
        <f>$B3 * IFERROR(VLOOKUP("electricity|SO2|Infant mortality", US_national_yearly!$D:$AM, 26, FALSE) / VLOOKUP("electricity|SO2|Infant mortality", US_national_yearly!$D:$AM, 10, FALSE), 1)</f>
        <v>1.678511709622231E-6</v>
      </c>
      <c r="S3" s="7">
        <f>$B3 * IFERROR(VLOOKUP("electricity|SO2|Infant mortality", US_national_yearly!$D:$AM, 27, FALSE) / VLOOKUP("electricity|SO2|Infant mortality", US_national_yearly!$D:$AM, 10, FALSE), 1)</f>
        <v>1.6695635029854576E-6</v>
      </c>
      <c r="T3" s="7">
        <f>$B3 * IFERROR(VLOOKUP("electricity|SO2|Infant mortality", US_national_yearly!$D:$AM, 28, FALSE) / VLOOKUP("electricity|SO2|Infant mortality", US_national_yearly!$D:$AM, 10, FALSE), 1)</f>
        <v>1.6606152963486843E-6</v>
      </c>
      <c r="U3" s="7">
        <f>$B3 * IFERROR(VLOOKUP("electricity|SO2|Infant mortality", US_national_yearly!$D:$AM, 29, FALSE) / VLOOKUP("electricity|SO2|Infant mortality", US_national_yearly!$D:$AM, 10, FALSE), 1)</f>
        <v>1.6516670897119112E-6</v>
      </c>
      <c r="V3" s="7">
        <f>$B3 * IFERROR(VLOOKUP("electricity|SO2|Infant mortality", US_national_yearly!$D:$AM, 30, FALSE) / VLOOKUP("electricity|SO2|Infant mortality", US_national_yearly!$D:$AM, 10, FALSE), 1)</f>
        <v>1.6427188830751381E-6</v>
      </c>
      <c r="W3" s="7">
        <f>$B3 * IFERROR(VLOOKUP("electricity|SO2|Infant mortality", US_national_yearly!$D:$AM, 31, FALSE) / VLOOKUP("electricity|SO2|Infant mortality", US_national_yearly!$D:$AM, 10, FALSE), 1)</f>
        <v>1.6337706764383646E-6</v>
      </c>
      <c r="X3" s="7">
        <f>$B3 * IFERROR(VLOOKUP("electricity|SO2|Infant mortality", US_national_yearly!$D:$AM, 32, FALSE) / VLOOKUP("electricity|SO2|Infant mortality", US_national_yearly!$D:$AM, 10, FALSE), 1)</f>
        <v>1.6242232019954673E-6</v>
      </c>
      <c r="Y3" s="7">
        <f>$B3 * IFERROR(VLOOKUP("electricity|SO2|Infant mortality", US_national_yearly!$D:$AM, 33, FALSE) / VLOOKUP("electricity|SO2|Infant mortality", US_national_yearly!$D:$AM, 10, FALSE), 1)</f>
        <v>1.6146757275525695E-6</v>
      </c>
      <c r="Z3" s="7">
        <f>$B3 * IFERROR(VLOOKUP("electricity|SO2|Infant mortality", US_national_yearly!$D:$AM, 34, FALSE) / VLOOKUP("electricity|SO2|Infant mortality", US_national_yearly!$D:$AM, 10, FALSE), 1)</f>
        <v>1.6051282531096721E-6</v>
      </c>
      <c r="AA3" s="7">
        <f>$B3 * IFERROR(VLOOKUP("electricity|SO2|Infant mortality", US_national_yearly!$D:$AM, 35, FALSE) / VLOOKUP("electricity|SO2|Infant mortality", US_national_yearly!$D:$AM, 10, FALSE), 1)</f>
        <v>1.5955807786667748E-6</v>
      </c>
      <c r="AB3" s="7">
        <f>$B3 * IFERROR(VLOOKUP("electricity|SO2|Infant mortality", US_national_yearly!$D:$AM, 36, FALSE) / VLOOKUP("electricity|SO2|Infant mortality", US_national_yearly!$D:$AM, 10, FALSE), 1)</f>
        <v>1.5860333042238772E-6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5.0093542783543749E-3</v>
      </c>
      <c r="C6" s="7">
        <f>$B6 * IFERROR(VLOOKUP("electricity|SO2|Asthma symptoms cough", US_national_yearly!$D:$AM, 11, FALSE) / VLOOKUP("electricity|SO2|Asthma symptoms cough", US_national_yearly!$D:$AM, 10, FALSE), 1)</f>
        <v>5.0093542783543749E-3</v>
      </c>
      <c r="D6" s="7">
        <f>$B6 * IFERROR(VLOOKUP("electricity|SO2|Asthma symptoms cough", US_national_yearly!$D:$AM, 12, FALSE) / VLOOKUP("electricity|SO2|Asthma symptoms cough", US_national_yearly!$D:$AM, 10, FALSE), 1)</f>
        <v>5.0093542783543749E-3</v>
      </c>
      <c r="E6" s="7">
        <f>$B6 * IFERROR(VLOOKUP("electricity|SO2|Asthma symptoms cough", US_national_yearly!$D:$AM, 13, FALSE) / VLOOKUP("electricity|SO2|Asthma symptoms cough", US_national_yearly!$D:$AM, 10, FALSE), 1)</f>
        <v>5.0093542783543749E-3</v>
      </c>
      <c r="F6" s="7">
        <f>$B6 * IFERROR(VLOOKUP("electricity|SO2|Asthma symptoms cough", US_national_yearly!$D:$AM, 14, FALSE) / VLOOKUP("electricity|SO2|Asthma symptoms cough", US_national_yearly!$D:$AM, 10, FALSE), 1)</f>
        <v>5.0093542783543749E-3</v>
      </c>
      <c r="G6" s="7">
        <f>$B6 * IFERROR(VLOOKUP("electricity|SO2|Asthma symptoms cough", US_national_yearly!$D:$AM, 15, FALSE) / VLOOKUP("electricity|SO2|Asthma symptoms cough", US_national_yearly!$D:$AM, 10, FALSE), 1)</f>
        <v>5.0093542783543749E-3</v>
      </c>
      <c r="H6" s="7">
        <f>$B6 * IFERROR(VLOOKUP("electricity|SO2|Asthma symptoms cough", US_national_yearly!$D:$AM, 16, FALSE) / VLOOKUP("electricity|SO2|Asthma symptoms cough", US_national_yearly!$D:$AM, 10, FALSE), 1)</f>
        <v>5.0093542783543749E-3</v>
      </c>
      <c r="I6" s="7">
        <f>$B6 * IFERROR(VLOOKUP("electricity|SO2|Asthma symptoms cough", US_national_yearly!$D:$AM, 17, FALSE) / VLOOKUP("electricity|SO2|Asthma symptoms cough", US_national_yearly!$D:$AM, 10, FALSE), 1)</f>
        <v>5.0093542783543749E-3</v>
      </c>
      <c r="J6" s="7">
        <f>$B6 * IFERROR(VLOOKUP("electricity|SO2|Asthma symptoms cough", US_national_yearly!$D:$AM, 18, FALSE) / VLOOKUP("electricity|SO2|Asthma symptoms cough", US_national_yearly!$D:$AM, 10, FALSE), 1)</f>
        <v>5.0093542783543749E-3</v>
      </c>
      <c r="K6" s="7">
        <f>$B6 * IFERROR(VLOOKUP("electricity|SO2|Asthma symptoms cough", US_national_yearly!$D:$AM, 19, FALSE) / VLOOKUP("electricity|SO2|Asthma symptoms cough", US_national_yearly!$D:$AM, 10, FALSE), 1)</f>
        <v>5.0093542783543749E-3</v>
      </c>
      <c r="L6" s="7">
        <f>$B6 * IFERROR(VLOOKUP("electricity|SO2|Asthma symptoms cough", US_national_yearly!$D:$AM, 20, FALSE) / VLOOKUP("electricity|SO2|Asthma symptoms cough", US_national_yearly!$D:$AM, 10, FALSE), 1)</f>
        <v>5.0093542783543749E-3</v>
      </c>
      <c r="M6" s="7">
        <f>$B6 * IFERROR(VLOOKUP("electricity|SO2|Asthma symptoms cough", US_national_yearly!$D:$AM, 21, FALSE) / VLOOKUP("electricity|SO2|Asthma symptoms cough", US_national_yearly!$D:$AM, 10, FALSE), 1)</f>
        <v>5.0093542783543749E-3</v>
      </c>
      <c r="N6" s="7">
        <f>$B6 * IFERROR(VLOOKUP("electricity|SO2|Asthma symptoms cough", US_national_yearly!$D:$AM, 22, FALSE) / VLOOKUP("electricity|SO2|Asthma symptoms cough", US_national_yearly!$D:$AM, 10, FALSE), 1)</f>
        <v>5.0093542783543749E-3</v>
      </c>
      <c r="O6" s="7">
        <f>$B6 * IFERROR(VLOOKUP("electricity|SO2|Asthma symptoms cough", US_national_yearly!$D:$AM, 23, FALSE) / VLOOKUP("electricity|SO2|Asthma symptoms cough", US_national_yearly!$D:$AM, 10, FALSE), 1)</f>
        <v>5.0093542783543749E-3</v>
      </c>
      <c r="P6" s="7">
        <f>$B6 * IFERROR(VLOOKUP("electricity|SO2|Asthma symptoms cough", US_national_yearly!$D:$AM, 24, FALSE) / VLOOKUP("electricity|SO2|Asthma symptoms cough", US_national_yearly!$D:$AM, 10, FALSE), 1)</f>
        <v>5.0093542783543749E-3</v>
      </c>
      <c r="Q6" s="7">
        <f>$B6 * IFERROR(VLOOKUP("electricity|SO2|Asthma symptoms cough", US_national_yearly!$D:$AM, 25, FALSE) / VLOOKUP("electricity|SO2|Asthma symptoms cough", US_national_yearly!$D:$AM, 10, FALSE), 1)</f>
        <v>5.0093542783543749E-3</v>
      </c>
      <c r="R6" s="7">
        <f>$B6 * IFERROR(VLOOKUP("electricity|SO2|Asthma symptoms cough", US_national_yearly!$D:$AM, 26, FALSE) / VLOOKUP("electricity|SO2|Asthma symptoms cough", US_national_yearly!$D:$AM, 10, FALSE), 1)</f>
        <v>5.0093542783543749E-3</v>
      </c>
      <c r="S6" s="7">
        <f>$B6 * IFERROR(VLOOKUP("electricity|SO2|Asthma symptoms cough", US_national_yearly!$D:$AM, 27, FALSE) / VLOOKUP("electricity|SO2|Asthma symptoms cough", US_national_yearly!$D:$AM, 10, FALSE), 1)</f>
        <v>5.0093542783543749E-3</v>
      </c>
      <c r="T6" s="7">
        <f>$B6 * IFERROR(VLOOKUP("electricity|SO2|Asthma symptoms cough", US_national_yearly!$D:$AM, 28, FALSE) / VLOOKUP("electricity|SO2|Asthma symptoms cough", US_national_yearly!$D:$AM, 10, FALSE), 1)</f>
        <v>5.0093542783543749E-3</v>
      </c>
      <c r="U6" s="7">
        <f>$B6 * IFERROR(VLOOKUP("electricity|SO2|Asthma symptoms cough", US_national_yearly!$D:$AM, 29, FALSE) / VLOOKUP("electricity|SO2|Asthma symptoms cough", US_national_yearly!$D:$AM, 10, FALSE), 1)</f>
        <v>5.0093542783543749E-3</v>
      </c>
      <c r="V6" s="7">
        <f>$B6 * IFERROR(VLOOKUP("electricity|SO2|Asthma symptoms cough", US_national_yearly!$D:$AM, 30, FALSE) / VLOOKUP("electricity|SO2|Asthma symptoms cough", US_national_yearly!$D:$AM, 10, FALSE), 1)</f>
        <v>5.0093542783543749E-3</v>
      </c>
      <c r="W6" s="7">
        <f>$B6 * IFERROR(VLOOKUP("electricity|SO2|Asthma symptoms cough", US_national_yearly!$D:$AM, 31, FALSE) / VLOOKUP("electricity|SO2|Asthma symptoms cough", US_national_yearly!$D:$AM, 10, FALSE), 1)</f>
        <v>5.0093542783543749E-3</v>
      </c>
      <c r="X6" s="7">
        <f>$B6 * IFERROR(VLOOKUP("electricity|SO2|Asthma symptoms cough", US_national_yearly!$D:$AM, 32, FALSE) / VLOOKUP("electricity|SO2|Asthma symptoms cough", US_national_yearly!$D:$AM, 10, FALSE), 1)</f>
        <v>5.0093542783543749E-3</v>
      </c>
      <c r="Y6" s="7">
        <f>$B6 * IFERROR(VLOOKUP("electricity|SO2|Asthma symptoms cough", US_national_yearly!$D:$AM, 33, FALSE) / VLOOKUP("electricity|SO2|Asthma symptoms cough", US_national_yearly!$D:$AM, 10, FALSE), 1)</f>
        <v>5.0093542783543749E-3</v>
      </c>
      <c r="Z6" s="7">
        <f>$B6 * IFERROR(VLOOKUP("electricity|SO2|Asthma symptoms cough", US_national_yearly!$D:$AM, 34, FALSE) / VLOOKUP("electricity|SO2|Asthma symptoms cough", US_national_yearly!$D:$AM, 10, FALSE), 1)</f>
        <v>5.0093542783543749E-3</v>
      </c>
      <c r="AA6" s="7">
        <f>$B6 * IFERROR(VLOOKUP("electricity|SO2|Asthma symptoms cough", US_national_yearly!$D:$AM, 35, FALSE) / VLOOKUP("electricity|SO2|Asthma symptoms cough", US_national_yearly!$D:$AM, 10, FALSE), 1)</f>
        <v>5.0093542783543749E-3</v>
      </c>
      <c r="AB6" s="7">
        <f>$B6 * IFERROR(VLOOKUP("electricity|SO2|Asthma symptoms cough", US_national_yearly!$D:$AM, 36, FALSE) / VLOOKUP("electricity|SO2|Asthma symptoms cough", US_national_yearly!$D:$AM, 10, FALSE), 1)</f>
        <v>5.0093542783543749E-3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6.7458294787715901E-3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6.7458294787715901E-3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6.7458294787715901E-3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6.7458294787715901E-3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6.7458294787715901E-3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6.7458294787715901E-3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6.7458294787715901E-3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6.7458294787715901E-3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6.7458294787715901E-3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6.7458294787715901E-3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6.7458294787715901E-3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6.7458294787715901E-3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6.7458294787715901E-3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6.7458294787715901E-3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6.7458294787715901E-3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6.7458294787715901E-3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6.7458294787715901E-3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6.7458294787715901E-3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6.7458294787715901E-3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6.7458294787715901E-3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6.7458294787715901E-3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6.7458294787715901E-3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6.7458294787715901E-3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6.7458294787715901E-3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6.7458294787715901E-3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6.7458294787715901E-3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6.7458294787715901E-3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1.0306458958862601E-2</v>
      </c>
      <c r="C8" s="7">
        <f>$B8 * IFERROR(VLOOKUP("electricity|SO2|Asthma symptoms wheeze", US_national_yearly!$D:$AM, 11, FALSE) / VLOOKUP("electricity|SO2|Asthma symptoms wheeze", US_national_yearly!$D:$AM, 10, FALSE), 1)</f>
        <v>1.0306458958862601E-2</v>
      </c>
      <c r="D8" s="7">
        <f>$B8 * IFERROR(VLOOKUP("electricity|SO2|Asthma symptoms wheeze", US_national_yearly!$D:$AM, 12, FALSE) / VLOOKUP("electricity|SO2|Asthma symptoms wheeze", US_national_yearly!$D:$AM, 10, FALSE), 1)</f>
        <v>1.0306458958862601E-2</v>
      </c>
      <c r="E8" s="7">
        <f>$B8 * IFERROR(VLOOKUP("electricity|SO2|Asthma symptoms wheeze", US_national_yearly!$D:$AM, 13, FALSE) / VLOOKUP("electricity|SO2|Asthma symptoms wheeze", US_national_yearly!$D:$AM, 10, FALSE), 1)</f>
        <v>1.0306458958862601E-2</v>
      </c>
      <c r="F8" s="7">
        <f>$B8 * IFERROR(VLOOKUP("electricity|SO2|Asthma symptoms wheeze", US_national_yearly!$D:$AM, 14, FALSE) / VLOOKUP("electricity|SO2|Asthma symptoms wheeze", US_national_yearly!$D:$AM, 10, FALSE), 1)</f>
        <v>1.0306458958862601E-2</v>
      </c>
      <c r="G8" s="7">
        <f>$B8 * IFERROR(VLOOKUP("electricity|SO2|Asthma symptoms wheeze", US_national_yearly!$D:$AM, 15, FALSE) / VLOOKUP("electricity|SO2|Asthma symptoms wheeze", US_national_yearly!$D:$AM, 10, FALSE), 1)</f>
        <v>1.0306458958862601E-2</v>
      </c>
      <c r="H8" s="7">
        <f>$B8 * IFERROR(VLOOKUP("electricity|SO2|Asthma symptoms wheeze", US_national_yearly!$D:$AM, 16, FALSE) / VLOOKUP("electricity|SO2|Asthma symptoms wheeze", US_national_yearly!$D:$AM, 10, FALSE), 1)</f>
        <v>1.0306458958862601E-2</v>
      </c>
      <c r="I8" s="7">
        <f>$B8 * IFERROR(VLOOKUP("electricity|SO2|Asthma symptoms wheeze", US_national_yearly!$D:$AM, 17, FALSE) / VLOOKUP("electricity|SO2|Asthma symptoms wheeze", US_national_yearly!$D:$AM, 10, FALSE), 1)</f>
        <v>1.0306458958862601E-2</v>
      </c>
      <c r="J8" s="7">
        <f>$B8 * IFERROR(VLOOKUP("electricity|SO2|Asthma symptoms wheeze", US_national_yearly!$D:$AM, 18, FALSE) / VLOOKUP("electricity|SO2|Asthma symptoms wheeze", US_national_yearly!$D:$AM, 10, FALSE), 1)</f>
        <v>1.0306458958862601E-2</v>
      </c>
      <c r="K8" s="7">
        <f>$B8 * IFERROR(VLOOKUP("electricity|SO2|Asthma symptoms wheeze", US_national_yearly!$D:$AM, 19, FALSE) / VLOOKUP("electricity|SO2|Asthma symptoms wheeze", US_national_yearly!$D:$AM, 10, FALSE), 1)</f>
        <v>1.0306458958862601E-2</v>
      </c>
      <c r="L8" s="7">
        <f>$B8 * IFERROR(VLOOKUP("electricity|SO2|Asthma symptoms wheeze", US_national_yearly!$D:$AM, 20, FALSE) / VLOOKUP("electricity|SO2|Asthma symptoms wheeze", US_national_yearly!$D:$AM, 10, FALSE), 1)</f>
        <v>1.0306458958862601E-2</v>
      </c>
      <c r="M8" s="7">
        <f>$B8 * IFERROR(VLOOKUP("electricity|SO2|Asthma symptoms wheeze", US_national_yearly!$D:$AM, 21, FALSE) / VLOOKUP("electricity|SO2|Asthma symptoms wheeze", US_national_yearly!$D:$AM, 10, FALSE), 1)</f>
        <v>1.0306458958862601E-2</v>
      </c>
      <c r="N8" s="7">
        <f>$B8 * IFERROR(VLOOKUP("electricity|SO2|Asthma symptoms wheeze", US_national_yearly!$D:$AM, 22, FALSE) / VLOOKUP("electricity|SO2|Asthma symptoms wheeze", US_national_yearly!$D:$AM, 10, FALSE), 1)</f>
        <v>1.0306458958862601E-2</v>
      </c>
      <c r="O8" s="7">
        <f>$B8 * IFERROR(VLOOKUP("electricity|SO2|Asthma symptoms wheeze", US_national_yearly!$D:$AM, 23, FALSE) / VLOOKUP("electricity|SO2|Asthma symptoms wheeze", US_national_yearly!$D:$AM, 10, FALSE), 1)</f>
        <v>1.0306458958862601E-2</v>
      </c>
      <c r="P8" s="7">
        <f>$B8 * IFERROR(VLOOKUP("electricity|SO2|Asthma symptoms wheeze", US_national_yearly!$D:$AM, 24, FALSE) / VLOOKUP("electricity|SO2|Asthma symptoms wheeze", US_national_yearly!$D:$AM, 10, FALSE), 1)</f>
        <v>1.0306458958862601E-2</v>
      </c>
      <c r="Q8" s="7">
        <f>$B8 * IFERROR(VLOOKUP("electricity|SO2|Asthma symptoms wheeze", US_national_yearly!$D:$AM, 25, FALSE) / VLOOKUP("electricity|SO2|Asthma symptoms wheeze", US_national_yearly!$D:$AM, 10, FALSE), 1)</f>
        <v>1.0306458958862601E-2</v>
      </c>
      <c r="R8" s="7">
        <f>$B8 * IFERROR(VLOOKUP("electricity|SO2|Asthma symptoms wheeze", US_national_yearly!$D:$AM, 26, FALSE) / VLOOKUP("electricity|SO2|Asthma symptoms wheeze", US_national_yearly!$D:$AM, 10, FALSE), 1)</f>
        <v>1.0306458958862601E-2</v>
      </c>
      <c r="S8" s="7">
        <f>$B8 * IFERROR(VLOOKUP("electricity|SO2|Asthma symptoms wheeze", US_national_yearly!$D:$AM, 27, FALSE) / VLOOKUP("electricity|SO2|Asthma symptoms wheeze", US_national_yearly!$D:$AM, 10, FALSE), 1)</f>
        <v>1.0306458958862601E-2</v>
      </c>
      <c r="T8" s="7">
        <f>$B8 * IFERROR(VLOOKUP("electricity|SO2|Asthma symptoms wheeze", US_national_yearly!$D:$AM, 28, FALSE) / VLOOKUP("electricity|SO2|Asthma symptoms wheeze", US_national_yearly!$D:$AM, 10, FALSE), 1)</f>
        <v>1.0306458958862601E-2</v>
      </c>
      <c r="U8" s="7">
        <f>$B8 * IFERROR(VLOOKUP("electricity|SO2|Asthma symptoms wheeze", US_national_yearly!$D:$AM, 29, FALSE) / VLOOKUP("electricity|SO2|Asthma symptoms wheeze", US_national_yearly!$D:$AM, 10, FALSE), 1)</f>
        <v>1.0306458958862601E-2</v>
      </c>
      <c r="V8" s="7">
        <f>$B8 * IFERROR(VLOOKUP("electricity|SO2|Asthma symptoms wheeze", US_national_yearly!$D:$AM, 30, FALSE) / VLOOKUP("electricity|SO2|Asthma symptoms wheeze", US_national_yearly!$D:$AM, 10, FALSE), 1)</f>
        <v>1.0306458958862601E-2</v>
      </c>
      <c r="W8" s="7">
        <f>$B8 * IFERROR(VLOOKUP("electricity|SO2|Asthma symptoms wheeze", US_national_yearly!$D:$AM, 31, FALSE) / VLOOKUP("electricity|SO2|Asthma symptoms wheeze", US_national_yearly!$D:$AM, 10, FALSE), 1)</f>
        <v>1.0306458958862601E-2</v>
      </c>
      <c r="X8" s="7">
        <f>$B8 * IFERROR(VLOOKUP("electricity|SO2|Asthma symptoms wheeze", US_national_yearly!$D:$AM, 32, FALSE) / VLOOKUP("electricity|SO2|Asthma symptoms wheeze", US_national_yearly!$D:$AM, 10, FALSE), 1)</f>
        <v>1.0306458958862601E-2</v>
      </c>
      <c r="Y8" s="7">
        <f>$B8 * IFERROR(VLOOKUP("electricity|SO2|Asthma symptoms wheeze", US_national_yearly!$D:$AM, 33, FALSE) / VLOOKUP("electricity|SO2|Asthma symptoms wheeze", US_national_yearly!$D:$AM, 10, FALSE), 1)</f>
        <v>1.0306458958862601E-2</v>
      </c>
      <c r="Z8" s="7">
        <f>$B8 * IFERROR(VLOOKUP("electricity|SO2|Asthma symptoms wheeze", US_national_yearly!$D:$AM, 34, FALSE) / VLOOKUP("electricity|SO2|Asthma symptoms wheeze", US_national_yearly!$D:$AM, 10, FALSE), 1)</f>
        <v>1.0306458958862601E-2</v>
      </c>
      <c r="AA8" s="7">
        <f>$B8 * IFERROR(VLOOKUP("electricity|SO2|Asthma symptoms wheeze", US_national_yearly!$D:$AM, 35, FALSE) / VLOOKUP("electricity|SO2|Asthma symptoms wheeze", US_national_yearly!$D:$AM, 10, FALSE), 1)</f>
        <v>1.0306458958862601E-2</v>
      </c>
      <c r="AB8" s="7">
        <f>$B8 * IFERROR(VLOOKUP("electricity|SO2|Asthma symptoms wheeze", US_national_yearly!$D:$AM, 36, FALSE) / VLOOKUP("electricity|SO2|Asthma symptoms wheeze", US_national_yearly!$D:$AM, 10, FALSE), 1)</f>
        <v>1.0306458958862601E-2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1.5345121034917068E-4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1.5435498134194097E-4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1.5525875233471129E-4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1.5616252332748161E-4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1.5706629432025193E-4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1.5805112956135403E-4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1.5903596480245613E-4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1.5998339069698991E-4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1.6093081659152369E-4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1.618782424860575E-4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1.6282566838059126E-4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1.6377309427512504E-4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1.6445264535321937E-4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1.6513219643131372E-4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1.6581174750940805E-4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1.6649129858750238E-4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1.6717084966559674E-4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1.6781224585396516E-4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1.684536420423336E-4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1.6909503823070202E-4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1.6973643441907046E-4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1.7037783060743891E-4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1.7099313925070912E-4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1.7160844789397941E-4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1.722237565372497E-4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1.7283906518051993E-4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1.7345437382379022E-4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9.338404167037104E-4</v>
      </c>
      <c r="C13" s="7">
        <f>$B13 * IFERROR(VLOOKUP("electricity|SO2|Non-fatal heart attacks", US_national_yearly!$D:$AM, 11, FALSE) / VLOOKUP("electricity|SO2|Non-fatal heart attacks", US_national_yearly!$D:$AM, 10, FALSE), 1)</f>
        <v>9.6134721801601603E-4</v>
      </c>
      <c r="D13" s="7">
        <f>$B13 * IFERROR(VLOOKUP("electricity|SO2|Non-fatal heart attacks", US_national_yearly!$D:$AM, 12, FALSE) / VLOOKUP("electricity|SO2|Non-fatal heart attacks", US_national_yearly!$D:$AM, 10, FALSE), 1)</f>
        <v>9.8885401932832123E-4</v>
      </c>
      <c r="E13" s="7">
        <f>$B13 * IFERROR(VLOOKUP("electricity|SO2|Non-fatal heart attacks", US_national_yearly!$D:$AM, 13, FALSE) / VLOOKUP("electricity|SO2|Non-fatal heart attacks", US_national_yearly!$D:$AM, 10, FALSE), 1)</f>
        <v>1.0163608206406269E-3</v>
      </c>
      <c r="F13" s="7">
        <f>$B13 * IFERROR(VLOOKUP("electricity|SO2|Non-fatal heart attacks", US_national_yearly!$D:$AM, 14, FALSE) / VLOOKUP("electricity|SO2|Non-fatal heart attacks", US_national_yearly!$D:$AM, 10, FALSE), 1)</f>
        <v>1.0438676219529323E-3</v>
      </c>
      <c r="G13" s="7">
        <f>$B13 * IFERROR(VLOOKUP("electricity|SO2|Non-fatal heart attacks", US_national_yearly!$D:$AM, 15, FALSE) / VLOOKUP("electricity|SO2|Non-fatal heart attacks", US_national_yearly!$D:$AM, 10, FALSE), 1)</f>
        <v>1.0699724016866217E-3</v>
      </c>
      <c r="H13" s="7">
        <f>$B13 * IFERROR(VLOOKUP("electricity|SO2|Non-fatal heart attacks", US_national_yearly!$D:$AM, 16, FALSE) / VLOOKUP("electricity|SO2|Non-fatal heart attacks", US_national_yearly!$D:$AM, 10, FALSE), 1)</f>
        <v>1.0960771814203111E-3</v>
      </c>
      <c r="I13" s="7">
        <f>$B13 * IFERROR(VLOOKUP("electricity|SO2|Non-fatal heart attacks", US_national_yearly!$D:$AM, 17, FALSE) / VLOOKUP("electricity|SO2|Non-fatal heart attacks", US_national_yearly!$D:$AM, 10, FALSE), 1)</f>
        <v>1.1173365365140483E-3</v>
      </c>
      <c r="J13" s="7">
        <f>$B13 * IFERROR(VLOOKUP("electricity|SO2|Non-fatal heart attacks", US_national_yearly!$D:$AM, 18, FALSE) / VLOOKUP("electricity|SO2|Non-fatal heart attacks", US_national_yearly!$D:$AM, 10, FALSE), 1)</f>
        <v>1.1385958916077853E-3</v>
      </c>
      <c r="K13" s="7">
        <f>$B13 * IFERROR(VLOOKUP("electricity|SO2|Non-fatal heart attacks", US_national_yearly!$D:$AM, 19, FALSE) / VLOOKUP("electricity|SO2|Non-fatal heart attacks", US_national_yearly!$D:$AM, 10, FALSE), 1)</f>
        <v>1.1598552467015223E-3</v>
      </c>
      <c r="L13" s="7">
        <f>$B13 * IFERROR(VLOOKUP("electricity|SO2|Non-fatal heart attacks", US_national_yearly!$D:$AM, 20, FALSE) / VLOOKUP("electricity|SO2|Non-fatal heart attacks", US_national_yearly!$D:$AM, 10, FALSE), 1)</f>
        <v>1.1811146017952593E-3</v>
      </c>
      <c r="M13" s="7">
        <f>$B13 * IFERROR(VLOOKUP("electricity|SO2|Non-fatal heart attacks", US_national_yearly!$D:$AM, 21, FALSE) / VLOOKUP("electricity|SO2|Non-fatal heart attacks", US_national_yearly!$D:$AM, 10, FALSE), 1)</f>
        <v>1.2023739568889965E-3</v>
      </c>
      <c r="N13" s="7">
        <f>$B13 * IFERROR(VLOOKUP("electricity|SO2|Non-fatal heart attacks", US_national_yearly!$D:$AM, 22, FALSE) / VLOOKUP("electricity|SO2|Non-fatal heart attacks", US_national_yearly!$D:$AM, 10, FALSE), 1)</f>
        <v>1.2163935007159048E-3</v>
      </c>
      <c r="O13" s="7">
        <f>$B13 * IFERROR(VLOOKUP("electricity|SO2|Non-fatal heart attacks", US_national_yearly!$D:$AM, 23, FALSE) / VLOOKUP("electricity|SO2|Non-fatal heart attacks", US_national_yearly!$D:$AM, 10, FALSE), 1)</f>
        <v>1.2304130445428129E-3</v>
      </c>
      <c r="P13" s="7">
        <f>$B13 * IFERROR(VLOOKUP("electricity|SO2|Non-fatal heart attacks", US_national_yearly!$D:$AM, 24, FALSE) / VLOOKUP("electricity|SO2|Non-fatal heart attacks", US_national_yearly!$D:$AM, 10, FALSE), 1)</f>
        <v>1.2444325883697212E-3</v>
      </c>
      <c r="Q13" s="7">
        <f>$B13 * IFERROR(VLOOKUP("electricity|SO2|Non-fatal heart attacks", US_national_yearly!$D:$AM, 25, FALSE) / VLOOKUP("electricity|SO2|Non-fatal heart attacks", US_national_yearly!$D:$AM, 10, FALSE), 1)</f>
        <v>1.2584521321966295E-3</v>
      </c>
      <c r="R13" s="7">
        <f>$B13 * IFERROR(VLOOKUP("electricity|SO2|Non-fatal heart attacks", US_national_yearly!$D:$AM, 26, FALSE) / VLOOKUP("electricity|SO2|Non-fatal heart attacks", US_national_yearly!$D:$AM, 10, FALSE), 1)</f>
        <v>1.2724716760235378E-3</v>
      </c>
      <c r="S13" s="7">
        <f>$B13 * IFERROR(VLOOKUP("electricity|SO2|Non-fatal heart attacks", US_national_yearly!$D:$AM, 27, FALSE) / VLOOKUP("electricity|SO2|Non-fatal heart attacks", US_national_yearly!$D:$AM, 10, FALSE), 1)</f>
        <v>1.2801007781507051E-3</v>
      </c>
      <c r="T13" s="7">
        <f>$B13 * IFERROR(VLOOKUP("electricity|SO2|Non-fatal heart attacks", US_national_yearly!$D:$AM, 28, FALSE) / VLOOKUP("electricity|SO2|Non-fatal heart attacks", US_national_yearly!$D:$AM, 10, FALSE), 1)</f>
        <v>1.2877298802778728E-3</v>
      </c>
      <c r="U13" s="7">
        <f>$B13 * IFERROR(VLOOKUP("electricity|SO2|Non-fatal heart attacks", US_national_yearly!$D:$AM, 29, FALSE) / VLOOKUP("electricity|SO2|Non-fatal heart attacks", US_national_yearly!$D:$AM, 10, FALSE), 1)</f>
        <v>1.2953589824050403E-3</v>
      </c>
      <c r="V13" s="7">
        <f>$B13 * IFERROR(VLOOKUP("electricity|SO2|Non-fatal heart attacks", US_national_yearly!$D:$AM, 30, FALSE) / VLOOKUP("electricity|SO2|Non-fatal heart attacks", US_national_yearly!$D:$AM, 10, FALSE), 1)</f>
        <v>1.3029880845322076E-3</v>
      </c>
      <c r="W13" s="7">
        <f>$B13 * IFERROR(VLOOKUP("electricity|SO2|Non-fatal heart attacks", US_national_yearly!$D:$AM, 31, FALSE) / VLOOKUP("electricity|SO2|Non-fatal heart attacks", US_national_yearly!$D:$AM, 10, FALSE), 1)</f>
        <v>1.3106171866593753E-3</v>
      </c>
      <c r="X13" s="7">
        <f>$B13 * IFERROR(VLOOKUP("electricity|SO2|Non-fatal heart attacks", US_national_yearly!$D:$AM, 32, FALSE) / VLOOKUP("electricity|SO2|Non-fatal heart attacks", US_national_yearly!$D:$AM, 10, FALSE), 1)</f>
        <v>1.3164776107405069E-3</v>
      </c>
      <c r="Y13" s="7">
        <f>$B13 * IFERROR(VLOOKUP("electricity|SO2|Non-fatal heart attacks", US_national_yearly!$D:$AM, 33, FALSE) / VLOOKUP("electricity|SO2|Non-fatal heart attacks", US_national_yearly!$D:$AM, 10, FALSE), 1)</f>
        <v>1.3223380348216388E-3</v>
      </c>
      <c r="Z13" s="7">
        <f>$B13 * IFERROR(VLOOKUP("electricity|SO2|Non-fatal heart attacks", US_national_yearly!$D:$AM, 34, FALSE) / VLOOKUP("electricity|SO2|Non-fatal heart attacks", US_national_yearly!$D:$AM, 10, FALSE), 1)</f>
        <v>1.3281984589027702E-3</v>
      </c>
      <c r="AA13" s="7">
        <f>$B13 * IFERROR(VLOOKUP("electricity|SO2|Non-fatal heart attacks", US_national_yearly!$D:$AM, 35, FALSE) / VLOOKUP("electricity|SO2|Non-fatal heart attacks", US_national_yearly!$D:$AM, 10, FALSE), 1)</f>
        <v>1.3340588829839021E-3</v>
      </c>
      <c r="AB13" s="7">
        <f>$B13 * IFERROR(VLOOKUP("electricity|SO2|Non-fatal heart attacks", US_national_yearly!$D:$AM, 36, FALSE) / VLOOKUP("electricity|SO2|Non-fatal heart attacks", US_national_yearly!$D:$AM, 10, FALSE), 1)</f>
        <v>1.3399193070650337E-3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0.64667216321012266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0.6482972194211144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0.64992227563210614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0.65154733184309799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0.6531723880540895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0.65552024295243727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0.65786809785078504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0.66189484976558399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0.66592160168038306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0.66994835359518201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0.67397510550998119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0.67800185742478003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0.68354727646547908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0.68909269550617791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0.69463811454687674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0.70018353358757568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0.70572895262827451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0.7114138814280051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0.71709881022773558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0.72278373902746607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0.72846866782719655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0.73415359662692714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0.73915571091704224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0.74415782520715712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0.74915993949727211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0.75416205378738721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0.7591641680775022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0.10963074216804214</v>
      </c>
      <c r="C15" s="7">
        <f>$B15 * IFERROR(VLOOKUP("electricity|SO2|Work loss days", US_national_yearly!$D:$AM, 11, FALSE) / VLOOKUP("electricity|SO2|Work loss days", US_national_yearly!$D:$AM, 10, FALSE), 1)</f>
        <v>0.10998572982676366</v>
      </c>
      <c r="D15" s="7">
        <f>$B15 * IFERROR(VLOOKUP("electricity|SO2|Work loss days", US_national_yearly!$D:$AM, 12, FALSE) / VLOOKUP("electricity|SO2|Work loss days", US_national_yearly!$D:$AM, 10, FALSE), 1)</f>
        <v>0.11034071748548517</v>
      </c>
      <c r="E15" s="7">
        <f>$B15 * IFERROR(VLOOKUP("electricity|SO2|Work loss days", US_national_yearly!$D:$AM, 13, FALSE) / VLOOKUP("electricity|SO2|Work loss days", US_national_yearly!$D:$AM, 10, FALSE), 1)</f>
        <v>0.11069570514420671</v>
      </c>
      <c r="F15" s="7">
        <f>$B15 * IFERROR(VLOOKUP("electricity|SO2|Work loss days", US_national_yearly!$D:$AM, 14, FALSE) / VLOOKUP("electricity|SO2|Work loss days", US_national_yearly!$D:$AM, 10, FALSE), 1)</f>
        <v>0.11105069280292823</v>
      </c>
      <c r="G15" s="7">
        <f>$B15 * IFERROR(VLOOKUP("electricity|SO2|Work loss days", US_national_yearly!$D:$AM, 15, FALSE) / VLOOKUP("electricity|SO2|Work loss days", US_national_yearly!$D:$AM, 10, FALSE), 1)</f>
        <v>0.11150545399018749</v>
      </c>
      <c r="H15" s="7">
        <f>$B15 * IFERROR(VLOOKUP("electricity|SO2|Work loss days", US_national_yearly!$D:$AM, 16, FALSE) / VLOOKUP("electricity|SO2|Work loss days", US_national_yearly!$D:$AM, 10, FALSE), 1)</f>
        <v>0.11196021517744674</v>
      </c>
      <c r="I15" s="7">
        <f>$B15 * IFERROR(VLOOKUP("electricity|SO2|Work loss days", US_national_yearly!$D:$AM, 17, FALSE) / VLOOKUP("electricity|SO2|Work loss days", US_national_yearly!$D:$AM, 10, FALSE), 1)</f>
        <v>0.11262558428753751</v>
      </c>
      <c r="J15" s="7">
        <f>$B15 * IFERROR(VLOOKUP("electricity|SO2|Work loss days", US_national_yearly!$D:$AM, 18, FALSE) / VLOOKUP("electricity|SO2|Work loss days", US_national_yearly!$D:$AM, 10, FALSE), 1)</f>
        <v>0.11329095339762824</v>
      </c>
      <c r="K15" s="7">
        <f>$B15 * IFERROR(VLOOKUP("electricity|SO2|Work loss days", US_national_yearly!$D:$AM, 19, FALSE) / VLOOKUP("electricity|SO2|Work loss days", US_national_yearly!$D:$AM, 10, FALSE), 1)</f>
        <v>0.11395632250771902</v>
      </c>
      <c r="L15" s="7">
        <f>$B15 * IFERROR(VLOOKUP("electricity|SO2|Work loss days", US_national_yearly!$D:$AM, 20, FALSE) / VLOOKUP("electricity|SO2|Work loss days", US_national_yearly!$D:$AM, 10, FALSE), 1)</f>
        <v>0.11462169161780976</v>
      </c>
      <c r="M15" s="7">
        <f>$B15 * IFERROR(VLOOKUP("electricity|SO2|Work loss days", US_national_yearly!$D:$AM, 21, FALSE) / VLOOKUP("electricity|SO2|Work loss days", US_national_yearly!$D:$AM, 10, FALSE), 1)</f>
        <v>0.11528706072790053</v>
      </c>
      <c r="N15" s="7">
        <f>$B15 * IFERROR(VLOOKUP("electricity|SO2|Work loss days", US_national_yearly!$D:$AM, 22, FALSE) / VLOOKUP("electricity|SO2|Work loss days", US_national_yearly!$D:$AM, 10, FALSE), 1)</f>
        <v>0.11612891812563113</v>
      </c>
      <c r="O15" s="7">
        <f>$B15 * IFERROR(VLOOKUP("electricity|SO2|Work loss days", US_national_yearly!$D:$AM, 23, FALSE) / VLOOKUP("electricity|SO2|Work loss days", US_national_yearly!$D:$AM, 10, FALSE), 1)</f>
        <v>0.11697077552336176</v>
      </c>
      <c r="P15" s="7">
        <f>$B15 * IFERROR(VLOOKUP("electricity|SO2|Work loss days", US_national_yearly!$D:$AM, 24, FALSE) / VLOOKUP("electricity|SO2|Work loss days", US_national_yearly!$D:$AM, 10, FALSE), 1)</f>
        <v>0.11781263292109237</v>
      </c>
      <c r="Q15" s="7">
        <f>$B15 * IFERROR(VLOOKUP("electricity|SO2|Work loss days", US_national_yearly!$D:$AM, 25, FALSE) / VLOOKUP("electricity|SO2|Work loss days", US_national_yearly!$D:$AM, 10, FALSE), 1)</f>
        <v>0.11865449031882297</v>
      </c>
      <c r="R15" s="7">
        <f>$B15 * IFERROR(VLOOKUP("electricity|SO2|Work loss days", US_national_yearly!$D:$AM, 26, FALSE) / VLOOKUP("electricity|SO2|Work loss days", US_national_yearly!$D:$AM, 10, FALSE), 1)</f>
        <v>0.1194963477165536</v>
      </c>
      <c r="S15" s="7">
        <f>$B15 * IFERROR(VLOOKUP("electricity|SO2|Work loss days", US_national_yearly!$D:$AM, 27, FALSE) / VLOOKUP("electricity|SO2|Work loss days", US_national_yearly!$D:$AM, 10, FALSE), 1)</f>
        <v>0.12044014841906968</v>
      </c>
      <c r="T15" s="7">
        <f>$B15 * IFERROR(VLOOKUP("electricity|SO2|Work loss days", US_national_yearly!$D:$AM, 28, FALSE) / VLOOKUP("electricity|SO2|Work loss days", US_national_yearly!$D:$AM, 10, FALSE), 1)</f>
        <v>0.12138394912158579</v>
      </c>
      <c r="U15" s="7">
        <f>$B15 * IFERROR(VLOOKUP("electricity|SO2|Work loss days", US_national_yearly!$D:$AM, 29, FALSE) / VLOOKUP("electricity|SO2|Work loss days", US_national_yearly!$D:$AM, 10, FALSE), 1)</f>
        <v>0.1223277498241019</v>
      </c>
      <c r="V15" s="7">
        <f>$B15 * IFERROR(VLOOKUP("electricity|SO2|Work loss days", US_national_yearly!$D:$AM, 30, FALSE) / VLOOKUP("electricity|SO2|Work loss days", US_national_yearly!$D:$AM, 10, FALSE), 1)</f>
        <v>0.12327155052661801</v>
      </c>
      <c r="W15" s="7">
        <f>$B15 * IFERROR(VLOOKUP("electricity|SO2|Work loss days", US_national_yearly!$D:$AM, 31, FALSE) / VLOOKUP("electricity|SO2|Work loss days", US_national_yearly!$D:$AM, 10, FALSE), 1)</f>
        <v>0.12421535122913413</v>
      </c>
      <c r="X15" s="7">
        <f>$B15 * IFERROR(VLOOKUP("electricity|SO2|Work loss days", US_national_yearly!$D:$AM, 32, FALSE) / VLOOKUP("electricity|SO2|Work loss days", US_national_yearly!$D:$AM, 10, FALSE), 1)</f>
        <v>0.12506562231466808</v>
      </c>
      <c r="Y15" s="7">
        <f>$B15 * IFERROR(VLOOKUP("electricity|SO2|Work loss days", US_national_yearly!$D:$AM, 33, FALSE) / VLOOKUP("electricity|SO2|Work loss days", US_national_yearly!$D:$AM, 10, FALSE), 1)</f>
        <v>0.12591589340020204</v>
      </c>
      <c r="Z15" s="7">
        <f>$B15 * IFERROR(VLOOKUP("electricity|SO2|Work loss days", US_national_yearly!$D:$AM, 34, FALSE) / VLOOKUP("electricity|SO2|Work loss days", US_national_yearly!$D:$AM, 10, FALSE), 1)</f>
        <v>0.12676616448573597</v>
      </c>
      <c r="AA15" s="7">
        <f>$B15 * IFERROR(VLOOKUP("electricity|SO2|Work loss days", US_national_yearly!$D:$AM, 35, FALSE) / VLOOKUP("electricity|SO2|Work loss days", US_national_yearly!$D:$AM, 10, FALSE), 1)</f>
        <v>0.12761643557126992</v>
      </c>
      <c r="AB15" s="7">
        <f>$B15 * IFERROR(VLOOKUP("electricity|SO2|Work loss days", US_national_yearly!$D:$AM, 36, FALSE) / VLOOKUP("electricity|SO2|Work loss days", US_national_yearly!$D:$AM, 10, FALSE), 1)</f>
        <v>0.12846670665680388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2.4072720330405633E-4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2.4802190674294615E-4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2.5531661018183595E-4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2.6261131362072579E-4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2.6990601705961559E-4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2.7693764634489774E-4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2.8396927563017999E-4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2.9005684216465568E-4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2.9614440869913132E-4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3.0223197523360701E-4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3.0831954176808264E-4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3.1440710830255833E-4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3.185618562321772E-4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3.2271660416179597E-4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3.268713520914149E-4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3.3102610002103372E-4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3.3518084795065254E-4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3.3745855687802471E-4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3.3973626580539689E-4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3.4201397473276912E-4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3.4429168366014124E-4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3.4656939258751341E-4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3.4814166731988392E-4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3.4971394205225432E-4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3.5128621678462484E-4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3.5285849151699529E-4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3.5443076624936575E-4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2.1730514372081455E-2</v>
      </c>
      <c r="C2" s="7">
        <f>$B2 * IFERROR(VLOOKUP("buildings|PM25|Premature mortality", US_national_yearly!$D:$AM, 11, FALSE) / VLOOKUP("buildings|PM25|Premature mortality", US_national_yearly!$D:$AM, 10, FALSE), 1)</f>
        <v>2.2000120266056047E-2</v>
      </c>
      <c r="D2" s="7">
        <f>$B2 * IFERROR(VLOOKUP("buildings|PM25|Premature mortality", US_national_yearly!$D:$AM, 12, FALSE) / VLOOKUP("buildings|PM25|Premature mortality", US_national_yearly!$D:$AM, 10, FALSE), 1)</f>
        <v>2.2269726160030642E-2</v>
      </c>
      <c r="E2" s="7">
        <f>$B2 * IFERROR(VLOOKUP("buildings|PM25|Premature mortality", US_national_yearly!$D:$AM, 13, FALSE) / VLOOKUP("buildings|PM25|Premature mortality", US_national_yearly!$D:$AM, 10, FALSE), 1)</f>
        <v>2.2539332054005233E-2</v>
      </c>
      <c r="F2" s="7">
        <f>$B2 * IFERROR(VLOOKUP("buildings|PM25|Premature mortality", US_national_yearly!$D:$AM, 14, FALSE) / VLOOKUP("buildings|PM25|Premature mortality", US_national_yearly!$D:$AM, 10, FALSE), 1)</f>
        <v>2.2808937947979824E-2</v>
      </c>
      <c r="G2" s="7">
        <f>$B2 * IFERROR(VLOOKUP("buildings|PM25|Premature mortality", US_national_yearly!$D:$AM, 15, FALSE) / VLOOKUP("buildings|PM25|Premature mortality", US_national_yearly!$D:$AM, 10, FALSE), 1)</f>
        <v>2.333391591191937E-2</v>
      </c>
      <c r="H2" s="7">
        <f>$B2 * IFERROR(VLOOKUP("buildings|PM25|Premature mortality", US_national_yearly!$D:$AM, 16, FALSE) / VLOOKUP("buildings|PM25|Premature mortality", US_national_yearly!$D:$AM, 10, FALSE), 1)</f>
        <v>2.3858893875858916E-2</v>
      </c>
      <c r="I2" s="7">
        <f>$B2 * IFERROR(VLOOKUP("buildings|PM25|Premature mortality", US_national_yearly!$D:$AM, 17, FALSE) / VLOOKUP("buildings|PM25|Premature mortality", US_national_yearly!$D:$AM, 10, FALSE), 1)</f>
        <v>2.4204162840502846E-2</v>
      </c>
      <c r="J2" s="7">
        <f>$B2 * IFERROR(VLOOKUP("buildings|PM25|Premature mortality", US_national_yearly!$D:$AM, 18, FALSE) / VLOOKUP("buildings|PM25|Premature mortality", US_national_yearly!$D:$AM, 10, FALSE), 1)</f>
        <v>2.4549431805146776E-2</v>
      </c>
      <c r="K2" s="7">
        <f>$B2 * IFERROR(VLOOKUP("buildings|PM25|Premature mortality", US_national_yearly!$D:$AM, 19, FALSE) / VLOOKUP("buildings|PM25|Premature mortality", US_national_yearly!$D:$AM, 10, FALSE), 1)</f>
        <v>2.4894700769790709E-2</v>
      </c>
      <c r="L2" s="7">
        <f>$B2 * IFERROR(VLOOKUP("buildings|PM25|Premature mortality", US_national_yearly!$D:$AM, 20, FALSE) / VLOOKUP("buildings|PM25|Premature mortality", US_national_yearly!$D:$AM, 10, FALSE), 1)</f>
        <v>2.5239969734434639E-2</v>
      </c>
      <c r="M2" s="7">
        <f>$B2 * IFERROR(VLOOKUP("buildings|PM25|Premature mortality", US_national_yearly!$D:$AM, 21, FALSE) / VLOOKUP("buildings|PM25|Premature mortality", US_national_yearly!$D:$AM, 10, FALSE), 1)</f>
        <v>2.5585238699078569E-2</v>
      </c>
      <c r="N2" s="7">
        <f>$B2 * IFERROR(VLOOKUP("buildings|PM25|Premature mortality", US_national_yearly!$D:$AM, 22, FALSE) / VLOOKUP("buildings|PM25|Premature mortality", US_national_yearly!$D:$AM, 10, FALSE), 1)</f>
        <v>2.5853723692907647E-2</v>
      </c>
      <c r="O2" s="7">
        <f>$B2 * IFERROR(VLOOKUP("buildings|PM25|Premature mortality", US_national_yearly!$D:$AM, 23, FALSE) / VLOOKUP("buildings|PM25|Premature mortality", US_national_yearly!$D:$AM, 10, FALSE), 1)</f>
        <v>2.6122208686736727E-2</v>
      </c>
      <c r="P2" s="7">
        <f>$B2 * IFERROR(VLOOKUP("buildings|PM25|Premature mortality", US_national_yearly!$D:$AM, 24, FALSE) / VLOOKUP("buildings|PM25|Premature mortality", US_national_yearly!$D:$AM, 10, FALSE), 1)</f>
        <v>2.6390693680565805E-2</v>
      </c>
      <c r="Q2" s="7">
        <f>$B2 * IFERROR(VLOOKUP("buildings|PM25|Premature mortality", US_national_yearly!$D:$AM, 25, FALSE) / VLOOKUP("buildings|PM25|Premature mortality", US_national_yearly!$D:$AM, 10, FALSE), 1)</f>
        <v>2.6659178674394889E-2</v>
      </c>
      <c r="R2" s="7">
        <f>$B2 * IFERROR(VLOOKUP("buildings|PM25|Premature mortality", US_national_yearly!$D:$AM, 26, FALSE) / VLOOKUP("buildings|PM25|Premature mortality", US_national_yearly!$D:$AM, 10, FALSE), 1)</f>
        <v>2.6927663668223967E-2</v>
      </c>
      <c r="S2" s="7">
        <f>$B2 * IFERROR(VLOOKUP("buildings|PM25|Premature mortality", US_national_yearly!$D:$AM, 27, FALSE) / VLOOKUP("buildings|PM25|Premature mortality", US_national_yearly!$D:$AM, 10, FALSE), 1)</f>
        <v>2.7070366109272746E-2</v>
      </c>
      <c r="T2" s="7">
        <f>$B2 * IFERROR(VLOOKUP("buildings|PM25|Premature mortality", US_national_yearly!$D:$AM, 28, FALSE) / VLOOKUP("buildings|PM25|Premature mortality", US_national_yearly!$D:$AM, 10, FALSE), 1)</f>
        <v>2.7213068550321528E-2</v>
      </c>
      <c r="U2" s="7">
        <f>$B2 * IFERROR(VLOOKUP("buildings|PM25|Premature mortality", US_national_yearly!$D:$AM, 29, FALSE) / VLOOKUP("buildings|PM25|Premature mortality", US_national_yearly!$D:$AM, 10, FALSE), 1)</f>
        <v>2.7355770991370314E-2</v>
      </c>
      <c r="V2" s="7">
        <f>$B2 * IFERROR(VLOOKUP("buildings|PM25|Premature mortality", US_national_yearly!$D:$AM, 30, FALSE) / VLOOKUP("buildings|PM25|Premature mortality", US_national_yearly!$D:$AM, 10, FALSE), 1)</f>
        <v>2.7498473432419096E-2</v>
      </c>
      <c r="W2" s="7">
        <f>$B2 * IFERROR(VLOOKUP("buildings|PM25|Premature mortality", US_national_yearly!$D:$AM, 31, FALSE) / VLOOKUP("buildings|PM25|Premature mortality", US_national_yearly!$D:$AM, 10, FALSE), 1)</f>
        <v>2.7641175873467875E-2</v>
      </c>
      <c r="X2" s="7">
        <f>$B2 * IFERROR(VLOOKUP("buildings|PM25|Premature mortality", US_national_yearly!$D:$AM, 32, FALSE) / VLOOKUP("buildings|PM25|Premature mortality", US_national_yearly!$D:$AM, 10, FALSE), 1)</f>
        <v>2.7666789815997347E-2</v>
      </c>
      <c r="Y2" s="7">
        <f>$B2 * IFERROR(VLOOKUP("buildings|PM25|Premature mortality", US_national_yearly!$D:$AM, 33, FALSE) / VLOOKUP("buildings|PM25|Premature mortality", US_national_yearly!$D:$AM, 10, FALSE), 1)</f>
        <v>2.7692403758526812E-2</v>
      </c>
      <c r="Z2" s="7">
        <f>$B2 * IFERROR(VLOOKUP("buildings|PM25|Premature mortality", US_national_yearly!$D:$AM, 34, FALSE) / VLOOKUP("buildings|PM25|Premature mortality", US_national_yearly!$D:$AM, 10, FALSE), 1)</f>
        <v>2.7718017701056284E-2</v>
      </c>
      <c r="AA2" s="7">
        <f>$B2 * IFERROR(VLOOKUP("buildings|PM25|Premature mortality", US_national_yearly!$D:$AM, 35, FALSE) / VLOOKUP("buildings|PM25|Premature mortality", US_national_yearly!$D:$AM, 10, FALSE), 1)</f>
        <v>2.7743631643585755E-2</v>
      </c>
      <c r="AB2" s="7">
        <f>$B2 * IFERROR(VLOOKUP("buildings|PM25|Premature mortality", US_national_yearly!$D:$AM, 36, FALSE) / VLOOKUP("buildings|PM25|Premature mortality", US_national_yearly!$D:$AM, 10, FALSE), 1)</f>
        <v>2.776924558611522E-2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6.2755177449770431E-5</v>
      </c>
      <c r="C3" s="7">
        <f>$B3 * IFERROR(VLOOKUP("buildings|PM25|Infant mortality", US_national_yearly!$D:$AM, 11, FALSE) / VLOOKUP("buildings|PM25|Infant mortality", US_national_yearly!$D:$AM, 10, FALSE), 1)</f>
        <v>6.2211616097031401E-5</v>
      </c>
      <c r="D3" s="7">
        <f>$B3 * IFERROR(VLOOKUP("buildings|PM25|Infant mortality", US_national_yearly!$D:$AM, 12, FALSE) / VLOOKUP("buildings|PM25|Infant mortality", US_national_yearly!$D:$AM, 10, FALSE), 1)</f>
        <v>6.1668054744292358E-5</v>
      </c>
      <c r="E3" s="7">
        <f>$B3 * IFERROR(VLOOKUP("buildings|PM25|Infant mortality", US_national_yearly!$D:$AM, 13, FALSE) / VLOOKUP("buildings|PM25|Infant mortality", US_national_yearly!$D:$AM, 10, FALSE), 1)</f>
        <v>6.1124493391553328E-5</v>
      </c>
      <c r="F3" s="7">
        <f>$B3 * IFERROR(VLOOKUP("buildings|PM25|Infant mortality", US_national_yearly!$D:$AM, 14, FALSE) / VLOOKUP("buildings|PM25|Infant mortality", US_national_yearly!$D:$AM, 10, FALSE), 1)</f>
        <v>6.0580932038814298E-5</v>
      </c>
      <c r="G3" s="7">
        <f>$B3 * IFERROR(VLOOKUP("buildings|PM25|Infant mortality", US_national_yearly!$D:$AM, 15, FALSE) / VLOOKUP("buildings|PM25|Infant mortality", US_national_yearly!$D:$AM, 10, FALSE), 1)</f>
        <v>4.0284121979562948E-5</v>
      </c>
      <c r="H3" s="7">
        <f>$B3 * IFERROR(VLOOKUP("buildings|PM25|Infant mortality", US_national_yearly!$D:$AM, 16, FALSE) / VLOOKUP("buildings|PM25|Infant mortality", US_national_yearly!$D:$AM, 10, FALSE), 1)</f>
        <v>1.9987311920311608E-5</v>
      </c>
      <c r="I3" s="7">
        <f>$B3 * IFERROR(VLOOKUP("buildings|PM25|Infant mortality", US_national_yearly!$D:$AM, 17, FALSE) / VLOOKUP("buildings|PM25|Infant mortality", US_national_yearly!$D:$AM, 10, FALSE), 1)</f>
        <v>1.9857066488368806E-5</v>
      </c>
      <c r="J3" s="7">
        <f>$B3 * IFERROR(VLOOKUP("buildings|PM25|Infant mortality", US_national_yearly!$D:$AM, 18, FALSE) / VLOOKUP("buildings|PM25|Infant mortality", US_national_yearly!$D:$AM, 10, FALSE), 1)</f>
        <v>1.9726821056426004E-5</v>
      </c>
      <c r="K3" s="7">
        <f>$B3 * IFERROR(VLOOKUP("buildings|PM25|Infant mortality", US_national_yearly!$D:$AM, 19, FALSE) / VLOOKUP("buildings|PM25|Infant mortality", US_national_yearly!$D:$AM, 10, FALSE), 1)</f>
        <v>1.9596575624483202E-5</v>
      </c>
      <c r="L3" s="7">
        <f>$B3 * IFERROR(VLOOKUP("buildings|PM25|Infant mortality", US_national_yearly!$D:$AM, 20, FALSE) / VLOOKUP("buildings|PM25|Infant mortality", US_national_yearly!$D:$AM, 10, FALSE), 1)</f>
        <v>1.94663301925404E-5</v>
      </c>
      <c r="M3" s="7">
        <f>$B3 * IFERROR(VLOOKUP("buildings|PM25|Infant mortality", US_national_yearly!$D:$AM, 21, FALSE) / VLOOKUP("buildings|PM25|Infant mortality", US_national_yearly!$D:$AM, 10, FALSE), 1)</f>
        <v>1.9336084760597598E-5</v>
      </c>
      <c r="N3" s="7">
        <f>$B3 * IFERROR(VLOOKUP("buildings|PM25|Infant mortality", US_national_yearly!$D:$AM, 22, FALSE) / VLOOKUP("buildings|PM25|Infant mortality", US_national_yearly!$D:$AM, 10, FALSE), 1)</f>
        <v>1.9254590752795944E-5</v>
      </c>
      <c r="O3" s="7">
        <f>$B3 * IFERROR(VLOOKUP("buildings|PM25|Infant mortality", US_national_yearly!$D:$AM, 23, FALSE) / VLOOKUP("buildings|PM25|Infant mortality", US_national_yearly!$D:$AM, 10, FALSE), 1)</f>
        <v>1.917309674499429E-5</v>
      </c>
      <c r="P3" s="7">
        <f>$B3 * IFERROR(VLOOKUP("buildings|PM25|Infant mortality", US_national_yearly!$D:$AM, 24, FALSE) / VLOOKUP("buildings|PM25|Infant mortality", US_national_yearly!$D:$AM, 10, FALSE), 1)</f>
        <v>1.9091602737192636E-5</v>
      </c>
      <c r="Q3" s="7">
        <f>$B3 * IFERROR(VLOOKUP("buildings|PM25|Infant mortality", US_national_yearly!$D:$AM, 25, FALSE) / VLOOKUP("buildings|PM25|Infant mortality", US_national_yearly!$D:$AM, 10, FALSE), 1)</f>
        <v>1.9010108729390982E-5</v>
      </c>
      <c r="R3" s="7">
        <f>$B3 * IFERROR(VLOOKUP("buildings|PM25|Infant mortality", US_national_yearly!$D:$AM, 26, FALSE) / VLOOKUP("buildings|PM25|Infant mortality", US_national_yearly!$D:$AM, 10, FALSE), 1)</f>
        <v>1.8928614721589328E-5</v>
      </c>
      <c r="S3" s="7">
        <f>$B3 * IFERROR(VLOOKUP("buildings|PM25|Infant mortality", US_national_yearly!$D:$AM, 27, FALSE) / VLOOKUP("buildings|PM25|Infant mortality", US_national_yearly!$D:$AM, 10, FALSE), 1)</f>
        <v>1.882686384911058E-5</v>
      </c>
      <c r="T3" s="7">
        <f>$B3 * IFERROR(VLOOKUP("buildings|PM25|Infant mortality", US_national_yearly!$D:$AM, 28, FALSE) / VLOOKUP("buildings|PM25|Infant mortality", US_national_yearly!$D:$AM, 10, FALSE), 1)</f>
        <v>1.8725112976631838E-5</v>
      </c>
      <c r="U3" s="7">
        <f>$B3 * IFERROR(VLOOKUP("buildings|PM25|Infant mortality", US_national_yearly!$D:$AM, 29, FALSE) / VLOOKUP("buildings|PM25|Infant mortality", US_national_yearly!$D:$AM, 10, FALSE), 1)</f>
        <v>1.8623362104153087E-5</v>
      </c>
      <c r="V3" s="7">
        <f>$B3 * IFERROR(VLOOKUP("buildings|PM25|Infant mortality", US_national_yearly!$D:$AM, 30, FALSE) / VLOOKUP("buildings|PM25|Infant mortality", US_national_yearly!$D:$AM, 10, FALSE), 1)</f>
        <v>1.8521611231674342E-5</v>
      </c>
      <c r="W3" s="7">
        <f>$B3 * IFERROR(VLOOKUP("buildings|PM25|Infant mortality", US_national_yearly!$D:$AM, 31, FALSE) / VLOOKUP("buildings|PM25|Infant mortality", US_national_yearly!$D:$AM, 10, FALSE), 1)</f>
        <v>1.8419860359195597E-5</v>
      </c>
      <c r="X3" s="7">
        <f>$B3 * IFERROR(VLOOKUP("buildings|PM25|Infant mortality", US_national_yearly!$D:$AM, 32, FALSE) / VLOOKUP("buildings|PM25|Infant mortality", US_national_yearly!$D:$AM, 10, FALSE), 1)</f>
        <v>1.8310312444157372E-5</v>
      </c>
      <c r="Y3" s="7">
        <f>$B3 * IFERROR(VLOOKUP("buildings|PM25|Infant mortality", US_national_yearly!$D:$AM, 33, FALSE) / VLOOKUP("buildings|PM25|Infant mortality", US_national_yearly!$D:$AM, 10, FALSE), 1)</f>
        <v>1.8200764529119153E-5</v>
      </c>
      <c r="Z3" s="7">
        <f>$B3 * IFERROR(VLOOKUP("buildings|PM25|Infant mortality", US_national_yearly!$D:$AM, 34, FALSE) / VLOOKUP("buildings|PM25|Infant mortality", US_national_yearly!$D:$AM, 10, FALSE), 1)</f>
        <v>1.8091216614080927E-5</v>
      </c>
      <c r="AA3" s="7">
        <f>$B3 * IFERROR(VLOOKUP("buildings|PM25|Infant mortality", US_national_yearly!$D:$AM, 35, FALSE) / VLOOKUP("buildings|PM25|Infant mortality", US_national_yearly!$D:$AM, 10, FALSE), 1)</f>
        <v>1.7981668699042705E-5</v>
      </c>
      <c r="AB3" s="7">
        <f>$B3 * IFERROR(VLOOKUP("buildings|PM25|Infant mortality", US_national_yearly!$D:$AM, 36, FALSE) / VLOOKUP("buildings|PM25|Infant mortality", US_national_yearly!$D:$AM, 10, FALSE), 1)</f>
        <v>1.7872120784004483E-5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5.4007216854964984E-2</v>
      </c>
      <c r="C6" s="7">
        <f>$B6 * IFERROR(VLOOKUP("buildings|PM25|Asthma symptoms cough", US_national_yearly!$D:$AM, 11, FALSE) / VLOOKUP("buildings|PM25|Asthma symptoms cough", US_national_yearly!$D:$AM, 10, FALSE), 1)</f>
        <v>5.4007216854964984E-2</v>
      </c>
      <c r="D6" s="7">
        <f>$B6 * IFERROR(VLOOKUP("buildings|PM25|Asthma symptoms cough", US_national_yearly!$D:$AM, 12, FALSE) / VLOOKUP("buildings|PM25|Asthma symptoms cough", US_national_yearly!$D:$AM, 10, FALSE), 1)</f>
        <v>5.4007216854964984E-2</v>
      </c>
      <c r="E6" s="7">
        <f>$B6 * IFERROR(VLOOKUP("buildings|PM25|Asthma symptoms cough", US_national_yearly!$D:$AM, 13, FALSE) / VLOOKUP("buildings|PM25|Asthma symptoms cough", US_national_yearly!$D:$AM, 10, FALSE), 1)</f>
        <v>5.4007216854964984E-2</v>
      </c>
      <c r="F6" s="7">
        <f>$B6 * IFERROR(VLOOKUP("buildings|PM25|Asthma symptoms cough", US_national_yearly!$D:$AM, 14, FALSE) / VLOOKUP("buildings|PM25|Asthma symptoms cough", US_national_yearly!$D:$AM, 10, FALSE), 1)</f>
        <v>5.4007216854964984E-2</v>
      </c>
      <c r="G6" s="7">
        <f>$B6 * IFERROR(VLOOKUP("buildings|PM25|Asthma symptoms cough", US_national_yearly!$D:$AM, 15, FALSE) / VLOOKUP("buildings|PM25|Asthma symptoms cough", US_national_yearly!$D:$AM, 10, FALSE), 1)</f>
        <v>5.4007216854964984E-2</v>
      </c>
      <c r="H6" s="7">
        <f>$B6 * IFERROR(VLOOKUP("buildings|PM25|Asthma symptoms cough", US_national_yearly!$D:$AM, 16, FALSE) / VLOOKUP("buildings|PM25|Asthma symptoms cough", US_national_yearly!$D:$AM, 10, FALSE), 1)</f>
        <v>5.4007216854964984E-2</v>
      </c>
      <c r="I6" s="7">
        <f>$B6 * IFERROR(VLOOKUP("buildings|PM25|Asthma symptoms cough", US_national_yearly!$D:$AM, 17, FALSE) / VLOOKUP("buildings|PM25|Asthma symptoms cough", US_national_yearly!$D:$AM, 10, FALSE), 1)</f>
        <v>5.4007216854964984E-2</v>
      </c>
      <c r="J6" s="7">
        <f>$B6 * IFERROR(VLOOKUP("buildings|PM25|Asthma symptoms cough", US_national_yearly!$D:$AM, 18, FALSE) / VLOOKUP("buildings|PM25|Asthma symptoms cough", US_national_yearly!$D:$AM, 10, FALSE), 1)</f>
        <v>5.4007216854964984E-2</v>
      </c>
      <c r="K6" s="7">
        <f>$B6 * IFERROR(VLOOKUP("buildings|PM25|Asthma symptoms cough", US_national_yearly!$D:$AM, 19, FALSE) / VLOOKUP("buildings|PM25|Asthma symptoms cough", US_national_yearly!$D:$AM, 10, FALSE), 1)</f>
        <v>5.4007216854964984E-2</v>
      </c>
      <c r="L6" s="7">
        <f>$B6 * IFERROR(VLOOKUP("buildings|PM25|Asthma symptoms cough", US_national_yearly!$D:$AM, 20, FALSE) / VLOOKUP("buildings|PM25|Asthma symptoms cough", US_national_yearly!$D:$AM, 10, FALSE), 1)</f>
        <v>5.4007216854964984E-2</v>
      </c>
      <c r="M6" s="7">
        <f>$B6 * IFERROR(VLOOKUP("buildings|PM25|Asthma symptoms cough", US_national_yearly!$D:$AM, 21, FALSE) / VLOOKUP("buildings|PM25|Asthma symptoms cough", US_national_yearly!$D:$AM, 10, FALSE), 1)</f>
        <v>5.4007216854964984E-2</v>
      </c>
      <c r="N6" s="7">
        <f>$B6 * IFERROR(VLOOKUP("buildings|PM25|Asthma symptoms cough", US_national_yearly!$D:$AM, 22, FALSE) / VLOOKUP("buildings|PM25|Asthma symptoms cough", US_national_yearly!$D:$AM, 10, FALSE), 1)</f>
        <v>5.4007216854964984E-2</v>
      </c>
      <c r="O6" s="7">
        <f>$B6 * IFERROR(VLOOKUP("buildings|PM25|Asthma symptoms cough", US_national_yearly!$D:$AM, 23, FALSE) / VLOOKUP("buildings|PM25|Asthma symptoms cough", US_national_yearly!$D:$AM, 10, FALSE), 1)</f>
        <v>5.4007216854964984E-2</v>
      </c>
      <c r="P6" s="7">
        <f>$B6 * IFERROR(VLOOKUP("buildings|PM25|Asthma symptoms cough", US_national_yearly!$D:$AM, 24, FALSE) / VLOOKUP("buildings|PM25|Asthma symptoms cough", US_national_yearly!$D:$AM, 10, FALSE), 1)</f>
        <v>5.4007216854964984E-2</v>
      </c>
      <c r="Q6" s="7">
        <f>$B6 * IFERROR(VLOOKUP("buildings|PM25|Asthma symptoms cough", US_national_yearly!$D:$AM, 25, FALSE) / VLOOKUP("buildings|PM25|Asthma symptoms cough", US_national_yearly!$D:$AM, 10, FALSE), 1)</f>
        <v>5.4007216854964984E-2</v>
      </c>
      <c r="R6" s="7">
        <f>$B6 * IFERROR(VLOOKUP("buildings|PM25|Asthma symptoms cough", US_national_yearly!$D:$AM, 26, FALSE) / VLOOKUP("buildings|PM25|Asthma symptoms cough", US_national_yearly!$D:$AM, 10, FALSE), 1)</f>
        <v>5.4007216854964984E-2</v>
      </c>
      <c r="S6" s="7">
        <f>$B6 * IFERROR(VLOOKUP("buildings|PM25|Asthma symptoms cough", US_national_yearly!$D:$AM, 27, FALSE) / VLOOKUP("buildings|PM25|Asthma symptoms cough", US_national_yearly!$D:$AM, 10, FALSE), 1)</f>
        <v>5.4007216854964984E-2</v>
      </c>
      <c r="T6" s="7">
        <f>$B6 * IFERROR(VLOOKUP("buildings|PM25|Asthma symptoms cough", US_national_yearly!$D:$AM, 28, FALSE) / VLOOKUP("buildings|PM25|Asthma symptoms cough", US_national_yearly!$D:$AM, 10, FALSE), 1)</f>
        <v>5.4007216854964984E-2</v>
      </c>
      <c r="U6" s="7">
        <f>$B6 * IFERROR(VLOOKUP("buildings|PM25|Asthma symptoms cough", US_national_yearly!$D:$AM, 29, FALSE) / VLOOKUP("buildings|PM25|Asthma symptoms cough", US_national_yearly!$D:$AM, 10, FALSE), 1)</f>
        <v>5.4007216854964984E-2</v>
      </c>
      <c r="V6" s="7">
        <f>$B6 * IFERROR(VLOOKUP("buildings|PM25|Asthma symptoms cough", US_national_yearly!$D:$AM, 30, FALSE) / VLOOKUP("buildings|PM25|Asthma symptoms cough", US_national_yearly!$D:$AM, 10, FALSE), 1)</f>
        <v>5.4007216854964984E-2</v>
      </c>
      <c r="W6" s="7">
        <f>$B6 * IFERROR(VLOOKUP("buildings|PM25|Asthma symptoms cough", US_national_yearly!$D:$AM, 31, FALSE) / VLOOKUP("buildings|PM25|Asthma symptoms cough", US_national_yearly!$D:$AM, 10, FALSE), 1)</f>
        <v>5.4007216854964984E-2</v>
      </c>
      <c r="X6" s="7">
        <f>$B6 * IFERROR(VLOOKUP("buildings|PM25|Asthma symptoms cough", US_national_yearly!$D:$AM, 32, FALSE) / VLOOKUP("buildings|PM25|Asthma symptoms cough", US_national_yearly!$D:$AM, 10, FALSE), 1)</f>
        <v>5.4007216854964984E-2</v>
      </c>
      <c r="Y6" s="7">
        <f>$B6 * IFERROR(VLOOKUP("buildings|PM25|Asthma symptoms cough", US_national_yearly!$D:$AM, 33, FALSE) / VLOOKUP("buildings|PM25|Asthma symptoms cough", US_national_yearly!$D:$AM, 10, FALSE), 1)</f>
        <v>5.4007216854964984E-2</v>
      </c>
      <c r="Z6" s="7">
        <f>$B6 * IFERROR(VLOOKUP("buildings|PM25|Asthma symptoms cough", US_national_yearly!$D:$AM, 34, FALSE) / VLOOKUP("buildings|PM25|Asthma symptoms cough", US_national_yearly!$D:$AM, 10, FALSE), 1)</f>
        <v>5.4007216854964984E-2</v>
      </c>
      <c r="AA6" s="7">
        <f>$B6 * IFERROR(VLOOKUP("buildings|PM25|Asthma symptoms cough", US_national_yearly!$D:$AM, 35, FALSE) / VLOOKUP("buildings|PM25|Asthma symptoms cough", US_national_yearly!$D:$AM, 10, FALSE), 1)</f>
        <v>5.4007216854964984E-2</v>
      </c>
      <c r="AB6" s="7">
        <f>$B6 * IFERROR(VLOOKUP("buildings|PM25|Asthma symptoms cough", US_national_yearly!$D:$AM, 36, FALSE) / VLOOKUP("buildings|PM25|Asthma symptoms cough", US_national_yearly!$D:$AM, 10, FALSE), 1)</f>
        <v>5.4007216854964984E-2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7.2728570787524954E-2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7.2728570787524954E-2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7.2728570787524954E-2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7.2728570787524954E-2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7.2728570787524954E-2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7.2728570787524954E-2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7.2728570787524954E-2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7.2728570787524954E-2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7.2728570787524954E-2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7.2728570787524954E-2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7.2728570787524954E-2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7.2728570787524954E-2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7.2728570787524954E-2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7.2728570787524954E-2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7.2728570787524954E-2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7.2728570787524954E-2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7.2728570787524954E-2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7.2728570787524954E-2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7.2728570787524954E-2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7.2728570787524954E-2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7.2728570787524954E-2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7.2728570787524954E-2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7.2728570787524954E-2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7.2728570787524954E-2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7.2728570787524954E-2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7.2728570787524954E-2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7.2728570787524954E-2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0.11111687126132093</v>
      </c>
      <c r="C8" s="7">
        <f>$B8 * IFERROR(VLOOKUP("buildings|PM25|Asthma symptoms wheeze", US_national_yearly!$D:$AM, 11, FALSE) / VLOOKUP("buildings|PM25|Asthma symptoms wheeze", US_national_yearly!$D:$AM, 10, FALSE), 1)</f>
        <v>0.11111687126132093</v>
      </c>
      <c r="D8" s="7">
        <f>$B8 * IFERROR(VLOOKUP("buildings|PM25|Asthma symptoms wheeze", US_national_yearly!$D:$AM, 12, FALSE) / VLOOKUP("buildings|PM25|Asthma symptoms wheeze", US_national_yearly!$D:$AM, 10, FALSE), 1)</f>
        <v>0.11111687126132093</v>
      </c>
      <c r="E8" s="7">
        <f>$B8 * IFERROR(VLOOKUP("buildings|PM25|Asthma symptoms wheeze", US_national_yearly!$D:$AM, 13, FALSE) / VLOOKUP("buildings|PM25|Asthma symptoms wheeze", US_national_yearly!$D:$AM, 10, FALSE), 1)</f>
        <v>0.11111687126132093</v>
      </c>
      <c r="F8" s="7">
        <f>$B8 * IFERROR(VLOOKUP("buildings|PM25|Asthma symptoms wheeze", US_national_yearly!$D:$AM, 14, FALSE) / VLOOKUP("buildings|PM25|Asthma symptoms wheeze", US_national_yearly!$D:$AM, 10, FALSE), 1)</f>
        <v>0.11111687126132093</v>
      </c>
      <c r="G8" s="7">
        <f>$B8 * IFERROR(VLOOKUP("buildings|PM25|Asthma symptoms wheeze", US_national_yearly!$D:$AM, 15, FALSE) / VLOOKUP("buildings|PM25|Asthma symptoms wheeze", US_national_yearly!$D:$AM, 10, FALSE), 1)</f>
        <v>0.11111687126132093</v>
      </c>
      <c r="H8" s="7">
        <f>$B8 * IFERROR(VLOOKUP("buildings|PM25|Asthma symptoms wheeze", US_national_yearly!$D:$AM, 16, FALSE) / VLOOKUP("buildings|PM25|Asthma symptoms wheeze", US_national_yearly!$D:$AM, 10, FALSE), 1)</f>
        <v>0.11111687126132093</v>
      </c>
      <c r="I8" s="7">
        <f>$B8 * IFERROR(VLOOKUP("buildings|PM25|Asthma symptoms wheeze", US_national_yearly!$D:$AM, 17, FALSE) / VLOOKUP("buildings|PM25|Asthma symptoms wheeze", US_national_yearly!$D:$AM, 10, FALSE), 1)</f>
        <v>0.11111687126132093</v>
      </c>
      <c r="J8" s="7">
        <f>$B8 * IFERROR(VLOOKUP("buildings|PM25|Asthma symptoms wheeze", US_national_yearly!$D:$AM, 18, FALSE) / VLOOKUP("buildings|PM25|Asthma symptoms wheeze", US_national_yearly!$D:$AM, 10, FALSE), 1)</f>
        <v>0.11111687126132093</v>
      </c>
      <c r="K8" s="7">
        <f>$B8 * IFERROR(VLOOKUP("buildings|PM25|Asthma symptoms wheeze", US_national_yearly!$D:$AM, 19, FALSE) / VLOOKUP("buildings|PM25|Asthma symptoms wheeze", US_national_yearly!$D:$AM, 10, FALSE), 1)</f>
        <v>0.11111687126132093</v>
      </c>
      <c r="L8" s="7">
        <f>$B8 * IFERROR(VLOOKUP("buildings|PM25|Asthma symptoms wheeze", US_national_yearly!$D:$AM, 20, FALSE) / VLOOKUP("buildings|PM25|Asthma symptoms wheeze", US_national_yearly!$D:$AM, 10, FALSE), 1)</f>
        <v>0.11111687126132093</v>
      </c>
      <c r="M8" s="7">
        <f>$B8 * IFERROR(VLOOKUP("buildings|PM25|Asthma symptoms wheeze", US_national_yearly!$D:$AM, 21, FALSE) / VLOOKUP("buildings|PM25|Asthma symptoms wheeze", US_national_yearly!$D:$AM, 10, FALSE), 1)</f>
        <v>0.11111687126132093</v>
      </c>
      <c r="N8" s="7">
        <f>$B8 * IFERROR(VLOOKUP("buildings|PM25|Asthma symptoms wheeze", US_national_yearly!$D:$AM, 22, FALSE) / VLOOKUP("buildings|PM25|Asthma symptoms wheeze", US_national_yearly!$D:$AM, 10, FALSE), 1)</f>
        <v>0.11111687126132093</v>
      </c>
      <c r="O8" s="7">
        <f>$B8 * IFERROR(VLOOKUP("buildings|PM25|Asthma symptoms wheeze", US_national_yearly!$D:$AM, 23, FALSE) / VLOOKUP("buildings|PM25|Asthma symptoms wheeze", US_national_yearly!$D:$AM, 10, FALSE), 1)</f>
        <v>0.11111687126132093</v>
      </c>
      <c r="P8" s="7">
        <f>$B8 * IFERROR(VLOOKUP("buildings|PM25|Asthma symptoms wheeze", US_national_yearly!$D:$AM, 24, FALSE) / VLOOKUP("buildings|PM25|Asthma symptoms wheeze", US_national_yearly!$D:$AM, 10, FALSE), 1)</f>
        <v>0.11111687126132093</v>
      </c>
      <c r="Q8" s="7">
        <f>$B8 * IFERROR(VLOOKUP("buildings|PM25|Asthma symptoms wheeze", US_national_yearly!$D:$AM, 25, FALSE) / VLOOKUP("buildings|PM25|Asthma symptoms wheeze", US_national_yearly!$D:$AM, 10, FALSE), 1)</f>
        <v>0.11111687126132093</v>
      </c>
      <c r="R8" s="7">
        <f>$B8 * IFERROR(VLOOKUP("buildings|PM25|Asthma symptoms wheeze", US_national_yearly!$D:$AM, 26, FALSE) / VLOOKUP("buildings|PM25|Asthma symptoms wheeze", US_national_yearly!$D:$AM, 10, FALSE), 1)</f>
        <v>0.11111687126132093</v>
      </c>
      <c r="S8" s="7">
        <f>$B8 * IFERROR(VLOOKUP("buildings|PM25|Asthma symptoms wheeze", US_national_yearly!$D:$AM, 27, FALSE) / VLOOKUP("buildings|PM25|Asthma symptoms wheeze", US_national_yearly!$D:$AM, 10, FALSE), 1)</f>
        <v>0.11111687126132093</v>
      </c>
      <c r="T8" s="7">
        <f>$B8 * IFERROR(VLOOKUP("buildings|PM25|Asthma symptoms wheeze", US_national_yearly!$D:$AM, 28, FALSE) / VLOOKUP("buildings|PM25|Asthma symptoms wheeze", US_national_yearly!$D:$AM, 10, FALSE), 1)</f>
        <v>0.11111687126132093</v>
      </c>
      <c r="U8" s="7">
        <f>$B8 * IFERROR(VLOOKUP("buildings|PM25|Asthma symptoms wheeze", US_national_yearly!$D:$AM, 29, FALSE) / VLOOKUP("buildings|PM25|Asthma symptoms wheeze", US_national_yearly!$D:$AM, 10, FALSE), 1)</f>
        <v>0.11111687126132093</v>
      </c>
      <c r="V8" s="7">
        <f>$B8 * IFERROR(VLOOKUP("buildings|PM25|Asthma symptoms wheeze", US_national_yearly!$D:$AM, 30, FALSE) / VLOOKUP("buildings|PM25|Asthma symptoms wheeze", US_national_yearly!$D:$AM, 10, FALSE), 1)</f>
        <v>0.11111687126132093</v>
      </c>
      <c r="W8" s="7">
        <f>$B8 * IFERROR(VLOOKUP("buildings|PM25|Asthma symptoms wheeze", US_national_yearly!$D:$AM, 31, FALSE) / VLOOKUP("buildings|PM25|Asthma symptoms wheeze", US_national_yearly!$D:$AM, 10, FALSE), 1)</f>
        <v>0.11111687126132093</v>
      </c>
      <c r="X8" s="7">
        <f>$B8 * IFERROR(VLOOKUP("buildings|PM25|Asthma symptoms wheeze", US_national_yearly!$D:$AM, 32, FALSE) / VLOOKUP("buildings|PM25|Asthma symptoms wheeze", US_national_yearly!$D:$AM, 10, FALSE), 1)</f>
        <v>0.11111687126132093</v>
      </c>
      <c r="Y8" s="7">
        <f>$B8 * IFERROR(VLOOKUP("buildings|PM25|Asthma symptoms wheeze", US_national_yearly!$D:$AM, 33, FALSE) / VLOOKUP("buildings|PM25|Asthma symptoms wheeze", US_national_yearly!$D:$AM, 10, FALSE), 1)</f>
        <v>0.11111687126132093</v>
      </c>
      <c r="Z8" s="7">
        <f>$B8 * IFERROR(VLOOKUP("buildings|PM25|Asthma symptoms wheeze", US_national_yearly!$D:$AM, 34, FALSE) / VLOOKUP("buildings|PM25|Asthma symptoms wheeze", US_national_yearly!$D:$AM, 10, FALSE), 1)</f>
        <v>0.11111687126132093</v>
      </c>
      <c r="AA8" s="7">
        <f>$B8 * IFERROR(VLOOKUP("buildings|PM25|Asthma symptoms wheeze", US_national_yearly!$D:$AM, 35, FALSE) / VLOOKUP("buildings|PM25|Asthma symptoms wheeze", US_national_yearly!$D:$AM, 10, FALSE), 1)</f>
        <v>0.11111687126132093</v>
      </c>
      <c r="AB8" s="7">
        <f>$B8 * IFERROR(VLOOKUP("buildings|PM25|Asthma symptoms wheeze", US_national_yearly!$D:$AM, 36, FALSE) / VLOOKUP("buildings|PM25|Asthma symptoms wheeze", US_national_yearly!$D:$AM, 10, FALSE), 1)</f>
        <v>0.11111687126132093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1.5548920282570939E-3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1.56385468443567E-3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1.5728173406142462E-3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1.5817799967928227E-3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1.590742652971399E-3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1.6004141893632162E-3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1.6100857257550334E-3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1.6192842314440273E-3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1.6284827371330207E-3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1.6376812428220144E-3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1.6468797485110083E-3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1.656078254200002E-3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1.6626944716209055E-3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1.6693106890418089E-3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1.6759269064627123E-3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1.6825431238836155E-3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1.6891593413045189E-3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1.6954630940302781E-3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1.7017668467560379E-3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1.708070599481797E-3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1.7143743522075562E-3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1.7206781049333162E-3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1.7267665308083669E-3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1.7328549566834181E-3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1.738943382558469E-3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1.7450318084335202E-3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1.7511202343085711E-3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9.7084744093092028E-3</v>
      </c>
      <c r="C13" s="7">
        <f>$B13 * IFERROR(VLOOKUP("buildings|PM25|Non-fatal heart attacks", US_national_yearly!$D:$AM, 11, FALSE) / VLOOKUP("buildings|PM25|Non-fatal heart attacks", US_national_yearly!$D:$AM, 10, FALSE), 1)</f>
        <v>9.9908591252674522E-3</v>
      </c>
      <c r="D13" s="7">
        <f>$B13 * IFERROR(VLOOKUP("buildings|PM25|Non-fatal heart attacks", US_national_yearly!$D:$AM, 12, FALSE) / VLOOKUP("buildings|PM25|Non-fatal heart attacks", US_national_yearly!$D:$AM, 10, FALSE), 1)</f>
        <v>1.0273243841225702E-2</v>
      </c>
      <c r="E13" s="7">
        <f>$B13 * IFERROR(VLOOKUP("buildings|PM25|Non-fatal heart attacks", US_national_yearly!$D:$AM, 13, FALSE) / VLOOKUP("buildings|PM25|Non-fatal heart attacks", US_national_yearly!$D:$AM, 10, FALSE), 1)</f>
        <v>1.0555628557183949E-2</v>
      </c>
      <c r="F13" s="7">
        <f>$B13 * IFERROR(VLOOKUP("buildings|PM25|Non-fatal heart attacks", US_national_yearly!$D:$AM, 14, FALSE) / VLOOKUP("buildings|PM25|Non-fatal heart attacks", US_national_yearly!$D:$AM, 10, FALSE), 1)</f>
        <v>1.0838013273142199E-2</v>
      </c>
      <c r="G13" s="7">
        <f>$B13 * IFERROR(VLOOKUP("buildings|PM25|Non-fatal heart attacks", US_national_yearly!$D:$AM, 15, FALSE) / VLOOKUP("buildings|PM25|Non-fatal heart attacks", US_national_yearly!$D:$AM, 10, FALSE), 1)</f>
        <v>1.1104459381099305E-2</v>
      </c>
      <c r="H13" s="7">
        <f>$B13 * IFERROR(VLOOKUP("buildings|PM25|Non-fatal heart attacks", US_national_yearly!$D:$AM, 16, FALSE) / VLOOKUP("buildings|PM25|Non-fatal heart attacks", US_national_yearly!$D:$AM, 10, FALSE), 1)</f>
        <v>1.1370905489056407E-2</v>
      </c>
      <c r="I13" s="7">
        <f>$B13 * IFERROR(VLOOKUP("buildings|PM25|Non-fatal heart attacks", US_national_yearly!$D:$AM, 17, FALSE) / VLOOKUP("buildings|PM25|Non-fatal heart attacks", US_national_yearly!$D:$AM, 10, FALSE), 1)</f>
        <v>1.1585282077468445E-2</v>
      </c>
      <c r="J13" s="7">
        <f>$B13 * IFERROR(VLOOKUP("buildings|PM25|Non-fatal heart attacks", US_national_yearly!$D:$AM, 18, FALSE) / VLOOKUP("buildings|PM25|Non-fatal heart attacks", US_national_yearly!$D:$AM, 10, FALSE), 1)</f>
        <v>1.1799658665880484E-2</v>
      </c>
      <c r="K13" s="7">
        <f>$B13 * IFERROR(VLOOKUP("buildings|PM25|Non-fatal heart attacks", US_national_yearly!$D:$AM, 19, FALSE) / VLOOKUP("buildings|PM25|Non-fatal heart attacks", US_national_yearly!$D:$AM, 10, FALSE), 1)</f>
        <v>1.201403525429252E-2</v>
      </c>
      <c r="L13" s="7">
        <f>$B13 * IFERROR(VLOOKUP("buildings|PM25|Non-fatal heart attacks", US_national_yearly!$D:$AM, 20, FALSE) / VLOOKUP("buildings|PM25|Non-fatal heart attacks", US_national_yearly!$D:$AM, 10, FALSE), 1)</f>
        <v>1.2228411842704555E-2</v>
      </c>
      <c r="M13" s="7">
        <f>$B13 * IFERROR(VLOOKUP("buildings|PM25|Non-fatal heart attacks", US_national_yearly!$D:$AM, 21, FALSE) / VLOOKUP("buildings|PM25|Non-fatal heart attacks", US_national_yearly!$D:$AM, 10, FALSE), 1)</f>
        <v>1.2442788431116592E-2</v>
      </c>
      <c r="N13" s="7">
        <f>$B13 * IFERROR(VLOOKUP("buildings|PM25|Non-fatal heart attacks", US_national_yearly!$D:$AM, 22, FALSE) / VLOOKUP("buildings|PM25|Non-fatal heart attacks", US_national_yearly!$D:$AM, 10, FALSE), 1)</f>
        <v>1.2581279056496E-2</v>
      </c>
      <c r="O13" s="7">
        <f>$B13 * IFERROR(VLOOKUP("buildings|PM25|Non-fatal heart attacks", US_national_yearly!$D:$AM, 23, FALSE) / VLOOKUP("buildings|PM25|Non-fatal heart attacks", US_national_yearly!$D:$AM, 10, FALSE), 1)</f>
        <v>1.2719769681875406E-2</v>
      </c>
      <c r="P13" s="7">
        <f>$B13 * IFERROR(VLOOKUP("buildings|PM25|Non-fatal heart attacks", US_national_yearly!$D:$AM, 24, FALSE) / VLOOKUP("buildings|PM25|Non-fatal heart attacks", US_national_yearly!$D:$AM, 10, FALSE), 1)</f>
        <v>1.2858260307254812E-2</v>
      </c>
      <c r="Q13" s="7">
        <f>$B13 * IFERROR(VLOOKUP("buildings|PM25|Non-fatal heart attacks", US_national_yearly!$D:$AM, 25, FALSE) / VLOOKUP("buildings|PM25|Non-fatal heart attacks", US_national_yearly!$D:$AM, 10, FALSE), 1)</f>
        <v>1.2996750932634219E-2</v>
      </c>
      <c r="R13" s="7">
        <f>$B13 * IFERROR(VLOOKUP("buildings|PM25|Non-fatal heart attacks", US_national_yearly!$D:$AM, 26, FALSE) / VLOOKUP("buildings|PM25|Non-fatal heart attacks", US_national_yearly!$D:$AM, 10, FALSE), 1)</f>
        <v>1.3135241558013626E-2</v>
      </c>
      <c r="S13" s="7">
        <f>$B13 * IFERROR(VLOOKUP("buildings|PM25|Non-fatal heart attacks", US_national_yearly!$D:$AM, 27, FALSE) / VLOOKUP("buildings|PM25|Non-fatal heart attacks", US_national_yearly!$D:$AM, 10, FALSE), 1)</f>
        <v>1.3208490571238967E-2</v>
      </c>
      <c r="T13" s="7">
        <f>$B13 * IFERROR(VLOOKUP("buildings|PM25|Non-fatal heart attacks", US_national_yearly!$D:$AM, 28, FALSE) / VLOOKUP("buildings|PM25|Non-fatal heart attacks", US_national_yearly!$D:$AM, 10, FALSE), 1)</f>
        <v>1.3281739584464313E-2</v>
      </c>
      <c r="U13" s="7">
        <f>$B13 * IFERROR(VLOOKUP("buildings|PM25|Non-fatal heart attacks", US_national_yearly!$D:$AM, 29, FALSE) / VLOOKUP("buildings|PM25|Non-fatal heart attacks", US_national_yearly!$D:$AM, 10, FALSE), 1)</f>
        <v>1.3354988597689658E-2</v>
      </c>
      <c r="V13" s="7">
        <f>$B13 * IFERROR(VLOOKUP("buildings|PM25|Non-fatal heart attacks", US_national_yearly!$D:$AM, 30, FALSE) / VLOOKUP("buildings|PM25|Non-fatal heart attacks", US_national_yearly!$D:$AM, 10, FALSE), 1)</f>
        <v>1.3428237610915E-2</v>
      </c>
      <c r="W13" s="7">
        <f>$B13 * IFERROR(VLOOKUP("buildings|PM25|Non-fatal heart attacks", US_national_yearly!$D:$AM, 31, FALSE) / VLOOKUP("buildings|PM25|Non-fatal heart attacks", US_national_yearly!$D:$AM, 10, FALSE), 1)</f>
        <v>1.3501486624140344E-2</v>
      </c>
      <c r="X13" s="7">
        <f>$B13 * IFERROR(VLOOKUP("buildings|PM25|Non-fatal heart attacks", US_national_yearly!$D:$AM, 32, FALSE) / VLOOKUP("buildings|PM25|Non-fatal heart attacks", US_national_yearly!$D:$AM, 10, FALSE), 1)</f>
        <v>1.35572344731899E-2</v>
      </c>
      <c r="Y13" s="7">
        <f>$B13 * IFERROR(VLOOKUP("buildings|PM25|Non-fatal heart attacks", US_national_yearly!$D:$AM, 33, FALSE) / VLOOKUP("buildings|PM25|Non-fatal heart attacks", US_national_yearly!$D:$AM, 10, FALSE), 1)</f>
        <v>1.3612982322239457E-2</v>
      </c>
      <c r="Z13" s="7">
        <f>$B13 * IFERROR(VLOOKUP("buildings|PM25|Non-fatal heart attacks", US_national_yearly!$D:$AM, 34, FALSE) / VLOOKUP("buildings|PM25|Non-fatal heart attacks", US_national_yearly!$D:$AM, 10, FALSE), 1)</f>
        <v>1.3668730171289009E-2</v>
      </c>
      <c r="AA13" s="7">
        <f>$B13 * IFERROR(VLOOKUP("buildings|PM25|Non-fatal heart attacks", US_national_yearly!$D:$AM, 35, FALSE) / VLOOKUP("buildings|PM25|Non-fatal heart attacks", US_national_yearly!$D:$AM, 10, FALSE), 1)</f>
        <v>1.3724478020338566E-2</v>
      </c>
      <c r="AB13" s="7">
        <f>$B13 * IFERROR(VLOOKUP("buildings|PM25|Non-fatal heart attacks", US_national_yearly!$D:$AM, 36, FALSE) / VLOOKUP("buildings|PM25|Non-fatal heart attacks", US_national_yearly!$D:$AM, 10, FALSE), 1)</f>
        <v>1.3780225869388124E-2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7.0418929881561416</v>
      </c>
      <c r="C14" s="7">
        <f>$B14 * IFERROR(VLOOKUP("buildings|PM25|Minor restricted activity days", US_national_yearly!$D:$AM, 11, FALSE) / VLOOKUP("buildings|PM25|Minor restricted activity days", US_national_yearly!$D:$AM, 10, FALSE), 1)</f>
        <v>7.0594065708035041</v>
      </c>
      <c r="D14" s="7">
        <f>$B14 * IFERROR(VLOOKUP("buildings|PM25|Minor restricted activity days", US_national_yearly!$D:$AM, 12, FALSE) / VLOOKUP("buildings|PM25|Minor restricted activity days", US_national_yearly!$D:$AM, 10, FALSE), 1)</f>
        <v>7.0769201534508666</v>
      </c>
      <c r="E14" s="7">
        <f>$B14 * IFERROR(VLOOKUP("buildings|PM25|Minor restricted activity days", US_national_yearly!$D:$AM, 13, FALSE) / VLOOKUP("buildings|PM25|Minor restricted activity days", US_national_yearly!$D:$AM, 10, FALSE), 1)</f>
        <v>7.0944337360982299</v>
      </c>
      <c r="F14" s="7">
        <f>$B14 * IFERROR(VLOOKUP("buildings|PM25|Minor restricted activity days", US_national_yearly!$D:$AM, 14, FALSE) / VLOOKUP("buildings|PM25|Minor restricted activity days", US_national_yearly!$D:$AM, 10, FALSE), 1)</f>
        <v>7.1119473187455906</v>
      </c>
      <c r="G14" s="7">
        <f>$B14 * IFERROR(VLOOKUP("buildings|PM25|Minor restricted activity days", US_national_yearly!$D:$AM, 15, FALSE) / VLOOKUP("buildings|PM25|Minor restricted activity days", US_national_yearly!$D:$AM, 10, FALSE), 1)</f>
        <v>7.1376344269853425</v>
      </c>
      <c r="H14" s="7">
        <f>$B14 * IFERROR(VLOOKUP("buildings|PM25|Minor restricted activity days", US_national_yearly!$D:$AM, 16, FALSE) / VLOOKUP("buildings|PM25|Minor restricted activity days", US_national_yearly!$D:$AM, 10, FALSE), 1)</f>
        <v>7.1633215352250907</v>
      </c>
      <c r="I14" s="7">
        <f>$B14 * IFERROR(VLOOKUP("buildings|PM25|Minor restricted activity days", US_national_yearly!$D:$AM, 17, FALSE) / VLOOKUP("buildings|PM25|Minor restricted activity days", US_national_yearly!$D:$AM, 10, FALSE), 1)</f>
        <v>7.207001150205544</v>
      </c>
      <c r="J14" s="7">
        <f>$B14 * IFERROR(VLOOKUP("buildings|PM25|Minor restricted activity days", US_national_yearly!$D:$AM, 18, FALSE) / VLOOKUP("buildings|PM25|Minor restricted activity days", US_national_yearly!$D:$AM, 10, FALSE), 1)</f>
        <v>7.2506807651860017</v>
      </c>
      <c r="K14" s="7">
        <f>$B14 * IFERROR(VLOOKUP("buildings|PM25|Minor restricted activity days", US_national_yearly!$D:$AM, 19, FALSE) / VLOOKUP("buildings|PM25|Minor restricted activity days", US_national_yearly!$D:$AM, 10, FALSE), 1)</f>
        <v>7.2943603801664523</v>
      </c>
      <c r="L14" s="7">
        <f>$B14 * IFERROR(VLOOKUP("buildings|PM25|Minor restricted activity days", US_national_yearly!$D:$AM, 20, FALSE) / VLOOKUP("buildings|PM25|Minor restricted activity days", US_national_yearly!$D:$AM, 10, FALSE), 1)</f>
        <v>7.3380399951469046</v>
      </c>
      <c r="M14" s="7">
        <f>$B14 * IFERROR(VLOOKUP("buildings|PM25|Minor restricted activity days", US_national_yearly!$D:$AM, 21, FALSE) / VLOOKUP("buildings|PM25|Minor restricted activity days", US_national_yearly!$D:$AM, 10, FALSE), 1)</f>
        <v>7.381719610127357</v>
      </c>
      <c r="N14" s="7">
        <f>$B14 * IFERROR(VLOOKUP("buildings|PM25|Minor restricted activity days", US_national_yearly!$D:$AM, 22, FALSE) / VLOOKUP("buildings|PM25|Minor restricted activity days", US_national_yearly!$D:$AM, 10, FALSE), 1)</f>
        <v>7.441069668580484</v>
      </c>
      <c r="O14" s="7">
        <f>$B14 * IFERROR(VLOOKUP("buildings|PM25|Minor restricted activity days", US_national_yearly!$D:$AM, 23, FALSE) / VLOOKUP("buildings|PM25|Minor restricted activity days", US_national_yearly!$D:$AM, 10, FALSE), 1)</f>
        <v>7.5004197270336084</v>
      </c>
      <c r="P14" s="7">
        <f>$B14 * IFERROR(VLOOKUP("buildings|PM25|Minor restricted activity days", US_national_yearly!$D:$AM, 24, FALSE) / VLOOKUP("buildings|PM25|Minor restricted activity days", US_national_yearly!$D:$AM, 10, FALSE), 1)</f>
        <v>7.5597697854867336</v>
      </c>
      <c r="Q14" s="7">
        <f>$B14 * IFERROR(VLOOKUP("buildings|PM25|Minor restricted activity days", US_national_yearly!$D:$AM, 25, FALSE) / VLOOKUP("buildings|PM25|Minor restricted activity days", US_national_yearly!$D:$AM, 10, FALSE), 1)</f>
        <v>7.6191198439398589</v>
      </c>
      <c r="R14" s="7">
        <f>$B14 * IFERROR(VLOOKUP("buildings|PM25|Minor restricted activity days", US_national_yearly!$D:$AM, 26, FALSE) / VLOOKUP("buildings|PM25|Minor restricted activity days", US_national_yearly!$D:$AM, 10, FALSE), 1)</f>
        <v>7.6784699023929841</v>
      </c>
      <c r="S14" s="7">
        <f>$B14 * IFERROR(VLOOKUP("buildings|PM25|Minor restricted activity days", US_national_yearly!$D:$AM, 27, FALSE) / VLOOKUP("buildings|PM25|Minor restricted activity days", US_national_yearly!$D:$AM, 10, FALSE), 1)</f>
        <v>7.7381877563688963</v>
      </c>
      <c r="T14" s="7">
        <f>$B14 * IFERROR(VLOOKUP("buildings|PM25|Minor restricted activity days", US_national_yearly!$D:$AM, 28, FALSE) / VLOOKUP("buildings|PM25|Minor restricted activity days", US_national_yearly!$D:$AM, 10, FALSE), 1)</f>
        <v>7.7979056103448077</v>
      </c>
      <c r="U14" s="7">
        <f>$B14 * IFERROR(VLOOKUP("buildings|PM25|Minor restricted activity days", US_national_yearly!$D:$AM, 29, FALSE) / VLOOKUP("buildings|PM25|Minor restricted activity days", US_national_yearly!$D:$AM, 10, FALSE), 1)</f>
        <v>7.8576234643207199</v>
      </c>
      <c r="V14" s="7">
        <f>$B14 * IFERROR(VLOOKUP("buildings|PM25|Minor restricted activity days", US_national_yearly!$D:$AM, 30, FALSE) / VLOOKUP("buildings|PM25|Minor restricted activity days", US_national_yearly!$D:$AM, 10, FALSE), 1)</f>
        <v>7.9173413182966312</v>
      </c>
      <c r="W14" s="7">
        <f>$B14 * IFERROR(VLOOKUP("buildings|PM25|Minor restricted activity days", US_national_yearly!$D:$AM, 31, FALSE) / VLOOKUP("buildings|PM25|Minor restricted activity days", US_national_yearly!$D:$AM, 10, FALSE), 1)</f>
        <v>7.9770591722725435</v>
      </c>
      <c r="X14" s="7">
        <f>$B14 * IFERROR(VLOOKUP("buildings|PM25|Minor restricted activity days", US_national_yearly!$D:$AM, 32, FALSE) / VLOOKUP("buildings|PM25|Minor restricted activity days", US_national_yearly!$D:$AM, 10, FALSE), 1)</f>
        <v>8.0289125187240842</v>
      </c>
      <c r="Y14" s="7">
        <f>$B14 * IFERROR(VLOOKUP("buildings|PM25|Minor restricted activity days", US_national_yearly!$D:$AM, 33, FALSE) / VLOOKUP("buildings|PM25|Minor restricted activity days", US_national_yearly!$D:$AM, 10, FALSE), 1)</f>
        <v>8.0807658651756231</v>
      </c>
      <c r="Z14" s="7">
        <f>$B14 * IFERROR(VLOOKUP("buildings|PM25|Minor restricted activity days", US_national_yearly!$D:$AM, 34, FALSE) / VLOOKUP("buildings|PM25|Minor restricted activity days", US_national_yearly!$D:$AM, 10, FALSE), 1)</f>
        <v>8.1326192116271603</v>
      </c>
      <c r="AA14" s="7">
        <f>$B14 * IFERROR(VLOOKUP("buildings|PM25|Minor restricted activity days", US_national_yearly!$D:$AM, 35, FALSE) / VLOOKUP("buildings|PM25|Minor restricted activity days", US_national_yearly!$D:$AM, 10, FALSE), 1)</f>
        <v>8.1844725580786992</v>
      </c>
      <c r="AB14" s="7">
        <f>$B14 * IFERROR(VLOOKUP("buildings|PM25|Minor restricted activity days", US_national_yearly!$D:$AM, 36, FALSE) / VLOOKUP("buildings|PM25|Minor restricted activity days", US_national_yearly!$D:$AM, 10, FALSE), 1)</f>
        <v>8.2363259045302382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1.1959347527396884</v>
      </c>
      <c r="C15" s="7">
        <f>$B15 * IFERROR(VLOOKUP("buildings|PM25|Work loss days", US_national_yearly!$D:$AM, 11, FALSE) / VLOOKUP("buildings|PM25|Work loss days", US_national_yearly!$D:$AM, 10, FALSE), 1)</f>
        <v>1.1996878539092164</v>
      </c>
      <c r="D15" s="7">
        <f>$B15 * IFERROR(VLOOKUP("buildings|PM25|Work loss days", US_national_yearly!$D:$AM, 12, FALSE) / VLOOKUP("buildings|PM25|Work loss days", US_national_yearly!$D:$AM, 10, FALSE), 1)</f>
        <v>1.2034409550787439</v>
      </c>
      <c r="E15" s="7">
        <f>$B15 * IFERROR(VLOOKUP("buildings|PM25|Work loss days", US_national_yearly!$D:$AM, 13, FALSE) / VLOOKUP("buildings|PM25|Work loss days", US_national_yearly!$D:$AM, 10, FALSE), 1)</f>
        <v>1.2071940562482717</v>
      </c>
      <c r="F15" s="7">
        <f>$B15 * IFERROR(VLOOKUP("buildings|PM25|Work loss days", US_national_yearly!$D:$AM, 14, FALSE) / VLOOKUP("buildings|PM25|Work loss days", US_national_yearly!$D:$AM, 10, FALSE), 1)</f>
        <v>1.2109471574177992</v>
      </c>
      <c r="G15" s="7">
        <f>$B15 * IFERROR(VLOOKUP("buildings|PM25|Work loss days", US_national_yearly!$D:$AM, 15, FALSE) / VLOOKUP("buildings|PM25|Work loss days", US_national_yearly!$D:$AM, 10, FALSE), 1)</f>
        <v>1.2158527969772965</v>
      </c>
      <c r="H15" s="7">
        <f>$B15 * IFERROR(VLOOKUP("buildings|PM25|Work loss days", US_national_yearly!$D:$AM, 16, FALSE) / VLOOKUP("buildings|PM25|Work loss days", US_national_yearly!$D:$AM, 10, FALSE), 1)</f>
        <v>1.2207584365367941</v>
      </c>
      <c r="I15" s="7">
        <f>$B15 * IFERROR(VLOOKUP("buildings|PM25|Work loss days", US_national_yearly!$D:$AM, 17, FALSE) / VLOOKUP("buildings|PM25|Work loss days", US_national_yearly!$D:$AM, 10, FALSE), 1)</f>
        <v>1.2279631840634622</v>
      </c>
      <c r="J15" s="7">
        <f>$B15 * IFERROR(VLOOKUP("buildings|PM25|Work loss days", US_national_yearly!$D:$AM, 18, FALSE) / VLOOKUP("buildings|PM25|Work loss days", US_national_yearly!$D:$AM, 10, FALSE), 1)</f>
        <v>1.2351679315901303</v>
      </c>
      <c r="K15" s="7">
        <f>$B15 * IFERROR(VLOOKUP("buildings|PM25|Work loss days", US_national_yearly!$D:$AM, 19, FALSE) / VLOOKUP("buildings|PM25|Work loss days", US_national_yearly!$D:$AM, 10, FALSE), 1)</f>
        <v>1.2423726791167984</v>
      </c>
      <c r="L15" s="7">
        <f>$B15 * IFERROR(VLOOKUP("buildings|PM25|Work loss days", US_national_yearly!$D:$AM, 20, FALSE) / VLOOKUP("buildings|PM25|Work loss days", US_national_yearly!$D:$AM, 10, FALSE), 1)</f>
        <v>1.2495774266434665</v>
      </c>
      <c r="M15" s="7">
        <f>$B15 * IFERROR(VLOOKUP("buildings|PM25|Work loss days", US_national_yearly!$D:$AM, 21, FALSE) / VLOOKUP("buildings|PM25|Work loss days", US_national_yearly!$D:$AM, 10, FALSE), 1)</f>
        <v>1.2567821741701348</v>
      </c>
      <c r="N15" s="7">
        <f>$B15 * IFERROR(VLOOKUP("buildings|PM25|Work loss days", US_national_yearly!$D:$AM, 22, FALSE) / VLOOKUP("buildings|PM25|Work loss days", US_national_yearly!$D:$AM, 10, FALSE), 1)</f>
        <v>1.2658404541560238</v>
      </c>
      <c r="O15" s="7">
        <f>$B15 * IFERROR(VLOOKUP("buildings|PM25|Work loss days", US_national_yearly!$D:$AM, 23, FALSE) / VLOOKUP("buildings|PM25|Work loss days", US_national_yearly!$D:$AM, 10, FALSE), 1)</f>
        <v>1.2748987341419129</v>
      </c>
      <c r="P15" s="7">
        <f>$B15 * IFERROR(VLOOKUP("buildings|PM25|Work loss days", US_national_yearly!$D:$AM, 24, FALSE) / VLOOKUP("buildings|PM25|Work loss days", US_national_yearly!$D:$AM, 10, FALSE), 1)</f>
        <v>1.2839570141278018</v>
      </c>
      <c r="Q15" s="7">
        <f>$B15 * IFERROR(VLOOKUP("buildings|PM25|Work loss days", US_national_yearly!$D:$AM, 25, FALSE) / VLOOKUP("buildings|PM25|Work loss days", US_national_yearly!$D:$AM, 10, FALSE), 1)</f>
        <v>1.2930152941136908</v>
      </c>
      <c r="R15" s="7">
        <f>$B15 * IFERROR(VLOOKUP("buildings|PM25|Work loss days", US_national_yearly!$D:$AM, 26, FALSE) / VLOOKUP("buildings|PM25|Work loss days", US_national_yearly!$D:$AM, 10, FALSE), 1)</f>
        <v>1.3020735740995801</v>
      </c>
      <c r="S15" s="7">
        <f>$B15 * IFERROR(VLOOKUP("buildings|PM25|Work loss days", US_national_yearly!$D:$AM, 27, FALSE) / VLOOKUP("buildings|PM25|Work loss days", US_national_yearly!$D:$AM, 10, FALSE), 1)</f>
        <v>1.3120795701379215</v>
      </c>
      <c r="T15" s="7">
        <f>$B15 * IFERROR(VLOOKUP("buildings|PM25|Work loss days", US_national_yearly!$D:$AM, 28, FALSE) / VLOOKUP("buildings|PM25|Work loss days", US_national_yearly!$D:$AM, 10, FALSE), 1)</f>
        <v>1.3220855661762634</v>
      </c>
      <c r="U15" s="7">
        <f>$B15 * IFERROR(VLOOKUP("buildings|PM25|Work loss days", US_national_yearly!$D:$AM, 29, FALSE) / VLOOKUP("buildings|PM25|Work loss days", US_national_yearly!$D:$AM, 10, FALSE), 1)</f>
        <v>1.3320915622146055</v>
      </c>
      <c r="V15" s="7">
        <f>$B15 * IFERROR(VLOOKUP("buildings|PM25|Work loss days", US_national_yearly!$D:$AM, 30, FALSE) / VLOOKUP("buildings|PM25|Work loss days", US_national_yearly!$D:$AM, 10, FALSE), 1)</f>
        <v>1.3420975582529469</v>
      </c>
      <c r="W15" s="7">
        <f>$B15 * IFERROR(VLOOKUP("buildings|PM25|Work loss days", US_national_yearly!$D:$AM, 31, FALSE) / VLOOKUP("buildings|PM25|Work loss days", US_national_yearly!$D:$AM, 10, FALSE), 1)</f>
        <v>1.3521035542912889</v>
      </c>
      <c r="X15" s="7">
        <f>$B15 * IFERROR(VLOOKUP("buildings|PM25|Work loss days", US_national_yearly!$D:$AM, 32, FALSE) / VLOOKUP("buildings|PM25|Work loss days", US_national_yearly!$D:$AM, 10, FALSE), 1)</f>
        <v>1.3609829221097329</v>
      </c>
      <c r="Y15" s="7">
        <f>$B15 * IFERROR(VLOOKUP("buildings|PM25|Work loss days", US_national_yearly!$D:$AM, 33, FALSE) / VLOOKUP("buildings|PM25|Work loss days", US_national_yearly!$D:$AM, 10, FALSE), 1)</f>
        <v>1.3698622899281772</v>
      </c>
      <c r="Z15" s="7">
        <f>$B15 * IFERROR(VLOOKUP("buildings|PM25|Work loss days", US_national_yearly!$D:$AM, 34, FALSE) / VLOOKUP("buildings|PM25|Work loss days", US_national_yearly!$D:$AM, 10, FALSE), 1)</f>
        <v>1.3787416577466214</v>
      </c>
      <c r="AA15" s="7">
        <f>$B15 * IFERROR(VLOOKUP("buildings|PM25|Work loss days", US_national_yearly!$D:$AM, 35, FALSE) / VLOOKUP("buildings|PM25|Work loss days", US_national_yearly!$D:$AM, 10, FALSE), 1)</f>
        <v>1.3876210255650656</v>
      </c>
      <c r="AB15" s="7">
        <f>$B15 * IFERROR(VLOOKUP("buildings|PM25|Work loss days", US_national_yearly!$D:$AM, 36, FALSE) / VLOOKUP("buildings|PM25|Work loss days", US_national_yearly!$D:$AM, 10, FALSE), 1)</f>
        <v>1.3965003933835098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2.5086829667269185E-3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2.5836583356420354E-3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2.6586337045571523E-3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2.7336090734722688E-3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2.8085844423873852E-3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2.8804221949243537E-3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2.9522599474613217E-3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3.013759673288696E-3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3.0752593991160708E-3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3.136759124943446E-3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3.1982588507708217E-3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3.2597585765981969E-3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3.3008250676890656E-3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3.3418915587799347E-3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3.3829580498708038E-3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3.4240245409616729E-3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3.465091032052542E-3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3.4869123872318265E-3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3.50873374241111E-3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3.5305550975903944E-3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3.5523764527696784E-3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3.5741978079489637E-3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3.5889524589925712E-3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3.6037071100361784E-3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3.6184617610797859E-3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3.633216412123393E-3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3.6479710631670006E-3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6.6919956372007766E-4</v>
      </c>
      <c r="C2" s="7">
        <f>$B2 * IFERROR(VLOOKUP("buildings|NOx|Premature mortality", US_national_yearly!$D:$AM, 11, FALSE) / VLOOKUP("buildings|NOx|Premature mortality", US_national_yearly!$D:$AM, 10, FALSE), 1)</f>
        <v>6.7904260859410126E-4</v>
      </c>
      <c r="D2" s="7">
        <f>$B2 * IFERROR(VLOOKUP("buildings|NOx|Premature mortality", US_national_yearly!$D:$AM, 12, FALSE) / VLOOKUP("buildings|NOx|Premature mortality", US_national_yearly!$D:$AM, 10, FALSE), 1)</f>
        <v>6.8888565346812475E-4</v>
      </c>
      <c r="E2" s="7">
        <f>$B2 * IFERROR(VLOOKUP("buildings|NOx|Premature mortality", US_national_yearly!$D:$AM, 13, FALSE) / VLOOKUP("buildings|NOx|Premature mortality", US_national_yearly!$D:$AM, 10, FALSE), 1)</f>
        <v>6.9872869834214835E-4</v>
      </c>
      <c r="F2" s="7">
        <f>$B2 * IFERROR(VLOOKUP("buildings|NOx|Premature mortality", US_national_yearly!$D:$AM, 14, FALSE) / VLOOKUP("buildings|NOx|Premature mortality", US_national_yearly!$D:$AM, 10, FALSE), 1)</f>
        <v>7.0857174321617184E-4</v>
      </c>
      <c r="G2" s="7">
        <f>$B2 * IFERROR(VLOOKUP("buildings|NOx|Premature mortality", US_national_yearly!$D:$AM, 15, FALSE) / VLOOKUP("buildings|NOx|Premature mortality", US_national_yearly!$D:$AM, 10, FALSE), 1)</f>
        <v>7.2624357559232283E-4</v>
      </c>
      <c r="H2" s="7">
        <f>$B2 * IFERROR(VLOOKUP("buildings|NOx|Premature mortality", US_national_yearly!$D:$AM, 16, FALSE) / VLOOKUP("buildings|NOx|Premature mortality", US_national_yearly!$D:$AM, 10, FALSE), 1)</f>
        <v>7.4391540796847405E-4</v>
      </c>
      <c r="I2" s="7">
        <f>$B2 * IFERROR(VLOOKUP("buildings|NOx|Premature mortality", US_national_yearly!$D:$AM, 17, FALSE) / VLOOKUP("buildings|NOx|Premature mortality", US_national_yearly!$D:$AM, 10, FALSE), 1)</f>
        <v>7.5533589799375248E-4</v>
      </c>
      <c r="J2" s="7">
        <f>$B2 * IFERROR(VLOOKUP("buildings|NOx|Premature mortality", US_national_yearly!$D:$AM, 18, FALSE) / VLOOKUP("buildings|NOx|Premature mortality", US_national_yearly!$D:$AM, 10, FALSE), 1)</f>
        <v>7.667563880190307E-4</v>
      </c>
      <c r="K2" s="7">
        <f>$B2 * IFERROR(VLOOKUP("buildings|NOx|Premature mortality", US_national_yearly!$D:$AM, 19, FALSE) / VLOOKUP("buildings|NOx|Premature mortality", US_national_yearly!$D:$AM, 10, FALSE), 1)</f>
        <v>7.7817687804430903E-4</v>
      </c>
      <c r="L2" s="7">
        <f>$B2 * IFERROR(VLOOKUP("buildings|NOx|Premature mortality", US_national_yearly!$D:$AM, 20, FALSE) / VLOOKUP("buildings|NOx|Premature mortality", US_national_yearly!$D:$AM, 10, FALSE), 1)</f>
        <v>7.8959736806958746E-4</v>
      </c>
      <c r="M2" s="7">
        <f>$B2 * IFERROR(VLOOKUP("buildings|NOx|Premature mortality", US_national_yearly!$D:$AM, 21, FALSE) / VLOOKUP("buildings|NOx|Premature mortality", US_national_yearly!$D:$AM, 10, FALSE), 1)</f>
        <v>8.0101785809486578E-4</v>
      </c>
      <c r="N2" s="7">
        <f>$B2 * IFERROR(VLOOKUP("buildings|NOx|Premature mortality", US_national_yearly!$D:$AM, 22, FALSE) / VLOOKUP("buildings|NOx|Premature mortality", US_national_yearly!$D:$AM, 10, FALSE), 1)</f>
        <v>8.0948000524819002E-4</v>
      </c>
      <c r="O2" s="7">
        <f>$B2 * IFERROR(VLOOKUP("buildings|NOx|Premature mortality", US_national_yearly!$D:$AM, 23, FALSE) / VLOOKUP("buildings|NOx|Premature mortality", US_national_yearly!$D:$AM, 10, FALSE), 1)</f>
        <v>8.1794215240151436E-4</v>
      </c>
      <c r="P2" s="7">
        <f>$B2 * IFERROR(VLOOKUP("buildings|NOx|Premature mortality", US_national_yearly!$D:$AM, 24, FALSE) / VLOOKUP("buildings|NOx|Premature mortality", US_national_yearly!$D:$AM, 10, FALSE), 1)</f>
        <v>8.2640429955483871E-4</v>
      </c>
      <c r="Q2" s="7">
        <f>$B2 * IFERROR(VLOOKUP("buildings|NOx|Premature mortality", US_national_yearly!$D:$AM, 25, FALSE) / VLOOKUP("buildings|NOx|Premature mortality", US_national_yearly!$D:$AM, 10, FALSE), 1)</f>
        <v>8.3486644670816284E-4</v>
      </c>
      <c r="R2" s="7">
        <f>$B2 * IFERROR(VLOOKUP("buildings|NOx|Premature mortality", US_national_yearly!$D:$AM, 26, FALSE) / VLOOKUP("buildings|NOx|Premature mortality", US_national_yearly!$D:$AM, 10, FALSE), 1)</f>
        <v>8.4332859386148718E-4</v>
      </c>
      <c r="S2" s="7">
        <f>$B2 * IFERROR(VLOOKUP("buildings|NOx|Premature mortality", US_national_yearly!$D:$AM, 27, FALSE) / VLOOKUP("buildings|NOx|Premature mortality", US_national_yearly!$D:$AM, 10, FALSE), 1)</f>
        <v>8.4717581958333732E-4</v>
      </c>
      <c r="T2" s="7">
        <f>$B2 * IFERROR(VLOOKUP("buildings|NOx|Premature mortality", US_national_yearly!$D:$AM, 28, FALSE) / VLOOKUP("buildings|NOx|Premature mortality", US_national_yearly!$D:$AM, 10, FALSE), 1)</f>
        <v>8.5102304530518724E-4</v>
      </c>
      <c r="U2" s="7">
        <f>$B2 * IFERROR(VLOOKUP("buildings|NOx|Premature mortality", US_national_yearly!$D:$AM, 29, FALSE) / VLOOKUP("buildings|NOx|Premature mortality", US_national_yearly!$D:$AM, 10, FALSE), 1)</f>
        <v>8.5487027102703738E-4</v>
      </c>
      <c r="V2" s="7">
        <f>$B2 * IFERROR(VLOOKUP("buildings|NOx|Premature mortality", US_national_yearly!$D:$AM, 30, FALSE) / VLOOKUP("buildings|NOx|Premature mortality", US_national_yearly!$D:$AM, 10, FALSE), 1)</f>
        <v>8.5871749674888741E-4</v>
      </c>
      <c r="W2" s="7">
        <f>$B2 * IFERROR(VLOOKUP("buildings|NOx|Premature mortality", US_national_yearly!$D:$AM, 31, FALSE) / VLOOKUP("buildings|NOx|Premature mortality", US_national_yearly!$D:$AM, 10, FALSE), 1)</f>
        <v>8.6256472247073744E-4</v>
      </c>
      <c r="X2" s="7">
        <f>$B2 * IFERROR(VLOOKUP("buildings|NOx|Premature mortality", US_national_yearly!$D:$AM, 32, FALSE) / VLOOKUP("buildings|NOx|Premature mortality", US_national_yearly!$D:$AM, 10, FALSE), 1)</f>
        <v>8.6270021862452342E-4</v>
      </c>
      <c r="Y2" s="7">
        <f>$B2 * IFERROR(VLOOKUP("buildings|NOx|Premature mortality", US_national_yearly!$D:$AM, 33, FALSE) / VLOOKUP("buildings|NOx|Premature mortality", US_national_yearly!$D:$AM, 10, FALSE), 1)</f>
        <v>8.628357147783094E-4</v>
      </c>
      <c r="Z2" s="7">
        <f>$B2 * IFERROR(VLOOKUP("buildings|NOx|Premature mortality", US_national_yearly!$D:$AM, 34, FALSE) / VLOOKUP("buildings|NOx|Premature mortality", US_national_yearly!$D:$AM, 10, FALSE), 1)</f>
        <v>8.6297121093209539E-4</v>
      </c>
      <c r="AA2" s="7">
        <f>$B2 * IFERROR(VLOOKUP("buildings|NOx|Premature mortality", US_national_yearly!$D:$AM, 35, FALSE) / VLOOKUP("buildings|NOx|Premature mortality", US_national_yearly!$D:$AM, 10, FALSE), 1)</f>
        <v>8.6310670708588115E-4</v>
      </c>
      <c r="AB2" s="7">
        <f>$B2 * IFERROR(VLOOKUP("buildings|NOx|Premature mortality", US_national_yearly!$D:$AM, 36, FALSE) / VLOOKUP("buildings|NOx|Premature mortality", US_national_yearly!$D:$AM, 10, FALSE), 1)</f>
        <v>8.6324220323966735E-4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1.8796714240638958E-6</v>
      </c>
      <c r="C3" s="7">
        <f>$B3 * IFERROR(VLOOKUP("buildings|NOx|Infant mortality", US_national_yearly!$D:$AM, 11, FALSE) / VLOOKUP("buildings|NOx|Infant mortality", US_national_yearly!$D:$AM, 10, FALSE), 1)</f>
        <v>1.8618167515863977E-6</v>
      </c>
      <c r="D3" s="7">
        <f>$B3 * IFERROR(VLOOKUP("buildings|NOx|Infant mortality", US_national_yearly!$D:$AM, 12, FALSE) / VLOOKUP("buildings|NOx|Infant mortality", US_national_yearly!$D:$AM, 10, FALSE), 1)</f>
        <v>1.8439620791088995E-6</v>
      </c>
      <c r="E3" s="7">
        <f>$B3 * IFERROR(VLOOKUP("buildings|NOx|Infant mortality", US_national_yearly!$D:$AM, 13, FALSE) / VLOOKUP("buildings|NOx|Infant mortality", US_national_yearly!$D:$AM, 10, FALSE), 1)</f>
        <v>1.8261074066314014E-6</v>
      </c>
      <c r="F3" s="7">
        <f>$B3 * IFERROR(VLOOKUP("buildings|NOx|Infant mortality", US_national_yearly!$D:$AM, 14, FALSE) / VLOOKUP("buildings|NOx|Infant mortality", US_national_yearly!$D:$AM, 10, FALSE), 1)</f>
        <v>1.8082527341539031E-6</v>
      </c>
      <c r="G3" s="7">
        <f>$B3 * IFERROR(VLOOKUP("buildings|NOx|Infant mortality", US_national_yearly!$D:$AM, 15, FALSE) / VLOOKUP("buildings|NOx|Infant mortality", US_national_yearly!$D:$AM, 10, FALSE), 1)</f>
        <v>1.2002050534591774E-6</v>
      </c>
      <c r="H3" s="7">
        <f>$B3 * IFERROR(VLOOKUP("buildings|NOx|Infant mortality", US_national_yearly!$D:$AM, 16, FALSE) / VLOOKUP("buildings|NOx|Infant mortality", US_national_yearly!$D:$AM, 10, FALSE), 1)</f>
        <v>5.9215737276445176E-7</v>
      </c>
      <c r="I3" s="7">
        <f>$B3 * IFERROR(VLOOKUP("buildings|NOx|Infant mortality", US_national_yearly!$D:$AM, 17, FALSE) / VLOOKUP("buildings|NOx|Infant mortality", US_national_yearly!$D:$AM, 10, FALSE), 1)</f>
        <v>5.8797404243647607E-7</v>
      </c>
      <c r="J3" s="7">
        <f>$B3 * IFERROR(VLOOKUP("buildings|NOx|Infant mortality", US_national_yearly!$D:$AM, 18, FALSE) / VLOOKUP("buildings|NOx|Infant mortality", US_national_yearly!$D:$AM, 10, FALSE), 1)</f>
        <v>5.8379071210850027E-7</v>
      </c>
      <c r="K3" s="7">
        <f>$B3 * IFERROR(VLOOKUP("buildings|NOx|Infant mortality", US_national_yearly!$D:$AM, 19, FALSE) / VLOOKUP("buildings|NOx|Infant mortality", US_national_yearly!$D:$AM, 10, FALSE), 1)</f>
        <v>5.7960738178052447E-7</v>
      </c>
      <c r="L3" s="7">
        <f>$B3 * IFERROR(VLOOKUP("buildings|NOx|Infant mortality", US_national_yearly!$D:$AM, 20, FALSE) / VLOOKUP("buildings|NOx|Infant mortality", US_national_yearly!$D:$AM, 10, FALSE), 1)</f>
        <v>5.7542405145254877E-7</v>
      </c>
      <c r="M3" s="7">
        <f>$B3 * IFERROR(VLOOKUP("buildings|NOx|Infant mortality", US_national_yearly!$D:$AM, 21, FALSE) / VLOOKUP("buildings|NOx|Infant mortality", US_national_yearly!$D:$AM, 10, FALSE), 1)</f>
        <v>5.7124072112457286E-7</v>
      </c>
      <c r="N3" s="7">
        <f>$B3 * IFERROR(VLOOKUP("buildings|NOx|Infant mortality", US_national_yearly!$D:$AM, 22, FALSE) / VLOOKUP("buildings|NOx|Infant mortality", US_national_yearly!$D:$AM, 10, FALSE), 1)</f>
        <v>5.684686623405825E-7</v>
      </c>
      <c r="O3" s="7">
        <f>$B3 * IFERROR(VLOOKUP("buildings|NOx|Infant mortality", US_national_yearly!$D:$AM, 23, FALSE) / VLOOKUP("buildings|NOx|Infant mortality", US_national_yearly!$D:$AM, 10, FALSE), 1)</f>
        <v>5.6569660355659202E-7</v>
      </c>
      <c r="P3" s="7">
        <f>$B3 * IFERROR(VLOOKUP("buildings|NOx|Infant mortality", US_national_yearly!$D:$AM, 24, FALSE) / VLOOKUP("buildings|NOx|Infant mortality", US_national_yearly!$D:$AM, 10, FALSE), 1)</f>
        <v>5.6292454477260155E-7</v>
      </c>
      <c r="Q3" s="7">
        <f>$B3 * IFERROR(VLOOKUP("buildings|NOx|Infant mortality", US_national_yearly!$D:$AM, 25, FALSE) / VLOOKUP("buildings|NOx|Infant mortality", US_national_yearly!$D:$AM, 10, FALSE), 1)</f>
        <v>5.6015248598861118E-7</v>
      </c>
      <c r="R3" s="7">
        <f>$B3 * IFERROR(VLOOKUP("buildings|NOx|Infant mortality", US_national_yearly!$D:$AM, 26, FALSE) / VLOOKUP("buildings|NOx|Infant mortality", US_national_yearly!$D:$AM, 10, FALSE), 1)</f>
        <v>5.5738042720462071E-7</v>
      </c>
      <c r="S3" s="7">
        <f>$B3 * IFERROR(VLOOKUP("buildings|NOx|Infant mortality", US_national_yearly!$D:$AM, 27, FALSE) / VLOOKUP("buildings|NOx|Infant mortality", US_national_yearly!$D:$AM, 10, FALSE), 1)</f>
        <v>5.540458175328575E-7</v>
      </c>
      <c r="T3" s="7">
        <f>$B3 * IFERROR(VLOOKUP("buildings|NOx|Infant mortality", US_national_yearly!$D:$AM, 28, FALSE) / VLOOKUP("buildings|NOx|Infant mortality", US_national_yearly!$D:$AM, 10, FALSE), 1)</f>
        <v>5.5071120786109441E-7</v>
      </c>
      <c r="U3" s="7">
        <f>$B3 * IFERROR(VLOOKUP("buildings|NOx|Infant mortality", US_national_yearly!$D:$AM, 29, FALSE) / VLOOKUP("buildings|NOx|Infant mortality", US_national_yearly!$D:$AM, 10, FALSE), 1)</f>
        <v>5.473765981893312E-7</v>
      </c>
      <c r="V3" s="7">
        <f>$B3 * IFERROR(VLOOKUP("buildings|NOx|Infant mortality", US_national_yearly!$D:$AM, 30, FALSE) / VLOOKUP("buildings|NOx|Infant mortality", US_national_yearly!$D:$AM, 10, FALSE), 1)</f>
        <v>5.44041988517568E-7</v>
      </c>
      <c r="W3" s="7">
        <f>$B3 * IFERROR(VLOOKUP("buildings|NOx|Infant mortality", US_national_yearly!$D:$AM, 31, FALSE) / VLOOKUP("buildings|NOx|Infant mortality", US_national_yearly!$D:$AM, 10, FALSE), 1)</f>
        <v>5.4070737884580501E-7</v>
      </c>
      <c r="X3" s="7">
        <f>$B3 * IFERROR(VLOOKUP("buildings|NOx|Infant mortality", US_national_yearly!$D:$AM, 32, FALSE) / VLOOKUP("buildings|NOx|Infant mortality", US_national_yearly!$D:$AM, 10, FALSE), 1)</f>
        <v>5.3717906955411837E-7</v>
      </c>
      <c r="Y3" s="7">
        <f>$B3 * IFERROR(VLOOKUP("buildings|NOx|Infant mortality", US_national_yearly!$D:$AM, 33, FALSE) / VLOOKUP("buildings|NOx|Infant mortality", US_national_yearly!$D:$AM, 10, FALSE), 1)</f>
        <v>5.3365076026243185E-7</v>
      </c>
      <c r="Z3" s="7">
        <f>$B3 * IFERROR(VLOOKUP("buildings|NOx|Infant mortality", US_national_yearly!$D:$AM, 34, FALSE) / VLOOKUP("buildings|NOx|Infant mortality", US_national_yearly!$D:$AM, 10, FALSE), 1)</f>
        <v>5.3012245097074532E-7</v>
      </c>
      <c r="AA3" s="7">
        <f>$B3 * IFERROR(VLOOKUP("buildings|NOx|Infant mortality", US_national_yearly!$D:$AM, 35, FALSE) / VLOOKUP("buildings|NOx|Infant mortality", US_national_yearly!$D:$AM, 10, FALSE), 1)</f>
        <v>5.2659414167905868E-7</v>
      </c>
      <c r="AB3" s="7">
        <f>$B3 * IFERROR(VLOOKUP("buildings|NOx|Infant mortality", US_national_yearly!$D:$AM, 36, FALSE) / VLOOKUP("buildings|NOx|Infant mortality", US_national_yearly!$D:$AM, 10, FALSE), 1)</f>
        <v>5.2306583238737215E-7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1.6398712490879831E-3</v>
      </c>
      <c r="C6" s="7">
        <f>$B6 * IFERROR(VLOOKUP("buildings|NOx|Asthma symptoms cough", US_national_yearly!$D:$AM, 11, FALSE) / VLOOKUP("buildings|NOx|Asthma symptoms cough", US_national_yearly!$D:$AM, 10, FALSE), 1)</f>
        <v>1.6623133338023598E-3</v>
      </c>
      <c r="D6" s="7">
        <f>$B6 * IFERROR(VLOOKUP("buildings|NOx|Asthma symptoms cough", US_national_yearly!$D:$AM, 12, FALSE) / VLOOKUP("buildings|NOx|Asthma symptoms cough", US_national_yearly!$D:$AM, 10, FALSE), 1)</f>
        <v>1.6847554185167369E-3</v>
      </c>
      <c r="E6" s="7">
        <f>$B6 * IFERROR(VLOOKUP("buildings|NOx|Asthma symptoms cough", US_national_yearly!$D:$AM, 13, FALSE) / VLOOKUP("buildings|NOx|Asthma symptoms cough", US_national_yearly!$D:$AM, 10, FALSE), 1)</f>
        <v>1.7071975032311136E-3</v>
      </c>
      <c r="F6" s="7">
        <f>$B6 * IFERROR(VLOOKUP("buildings|NOx|Asthma symptoms cough", US_national_yearly!$D:$AM, 14, FALSE) / VLOOKUP("buildings|NOx|Asthma symptoms cough", US_national_yearly!$D:$AM, 10, FALSE), 1)</f>
        <v>1.7296395879454905E-3</v>
      </c>
      <c r="G6" s="7">
        <f>$B6 * IFERROR(VLOOKUP("buildings|NOx|Asthma symptoms cough", US_national_yearly!$D:$AM, 15, FALSE) / VLOOKUP("buildings|NOx|Asthma symptoms cough", US_national_yearly!$D:$AM, 10, FALSE), 1)</f>
        <v>1.7475750188214645E-3</v>
      </c>
      <c r="H6" s="7">
        <f>$B6 * IFERROR(VLOOKUP("buildings|NOx|Asthma symptoms cough", US_national_yearly!$D:$AM, 16, FALSE) / VLOOKUP("buildings|NOx|Asthma symptoms cough", US_national_yearly!$D:$AM, 10, FALSE), 1)</f>
        <v>1.7655104496974387E-3</v>
      </c>
      <c r="I6" s="7">
        <f>$B6 * IFERROR(VLOOKUP("buildings|NOx|Asthma symptoms cough", US_national_yearly!$D:$AM, 17, FALSE) / VLOOKUP("buildings|NOx|Asthma symptoms cough", US_national_yearly!$D:$AM, 10, FALSE), 1)</f>
        <v>1.7717173726032375E-3</v>
      </c>
      <c r="J6" s="7">
        <f>$B6 * IFERROR(VLOOKUP("buildings|NOx|Asthma symptoms cough", US_national_yearly!$D:$AM, 18, FALSE) / VLOOKUP("buildings|NOx|Asthma symptoms cough", US_national_yearly!$D:$AM, 10, FALSE), 1)</f>
        <v>1.7779242955090362E-3</v>
      </c>
      <c r="K6" s="7">
        <f>$B6 * IFERROR(VLOOKUP("buildings|NOx|Asthma symptoms cough", US_national_yearly!$D:$AM, 19, FALSE) / VLOOKUP("buildings|NOx|Asthma symptoms cough", US_national_yearly!$D:$AM, 10, FALSE), 1)</f>
        <v>1.7841312184148346E-3</v>
      </c>
      <c r="L6" s="7">
        <f>$B6 * IFERROR(VLOOKUP("buildings|NOx|Asthma symptoms cough", US_national_yearly!$D:$AM, 20, FALSE) / VLOOKUP("buildings|NOx|Asthma symptoms cough", US_national_yearly!$D:$AM, 10, FALSE), 1)</f>
        <v>1.7903381413206332E-3</v>
      </c>
      <c r="M6" s="7">
        <f>$B6 * IFERROR(VLOOKUP("buildings|NOx|Asthma symptoms cough", US_national_yearly!$D:$AM, 21, FALSE) / VLOOKUP("buildings|NOx|Asthma symptoms cough", US_national_yearly!$D:$AM, 10, FALSE), 1)</f>
        <v>1.7965450642264316E-3</v>
      </c>
      <c r="N6" s="7">
        <f>$B6 * IFERROR(VLOOKUP("buildings|NOx|Asthma symptoms cough", US_national_yearly!$D:$AM, 22, FALSE) / VLOOKUP("buildings|NOx|Asthma symptoms cough", US_national_yearly!$D:$AM, 10, FALSE), 1)</f>
        <v>1.8037222055807974E-3</v>
      </c>
      <c r="O6" s="7">
        <f>$B6 * IFERROR(VLOOKUP("buildings|NOx|Asthma symptoms cough", US_national_yearly!$D:$AM, 23, FALSE) / VLOOKUP("buildings|NOx|Asthma symptoms cough", US_national_yearly!$D:$AM, 10, FALSE), 1)</f>
        <v>1.8108993469351628E-3</v>
      </c>
      <c r="P6" s="7">
        <f>$B6 * IFERROR(VLOOKUP("buildings|NOx|Asthma symptoms cough", US_national_yearly!$D:$AM, 24, FALSE) / VLOOKUP("buildings|NOx|Asthma symptoms cough", US_national_yearly!$D:$AM, 10, FALSE), 1)</f>
        <v>1.8180764882895282E-3</v>
      </c>
      <c r="Q6" s="7">
        <f>$B6 * IFERROR(VLOOKUP("buildings|NOx|Asthma symptoms cough", US_national_yearly!$D:$AM, 25, FALSE) / VLOOKUP("buildings|NOx|Asthma symptoms cough", US_national_yearly!$D:$AM, 10, FALSE), 1)</f>
        <v>1.8252536296438939E-3</v>
      </c>
      <c r="R6" s="7">
        <f>$B6 * IFERROR(VLOOKUP("buildings|NOx|Asthma symptoms cough", US_national_yearly!$D:$AM, 26, FALSE) / VLOOKUP("buildings|NOx|Asthma symptoms cough", US_national_yearly!$D:$AM, 10, FALSE), 1)</f>
        <v>1.8324307709982593E-3</v>
      </c>
      <c r="S6" s="7">
        <f>$B6 * IFERROR(VLOOKUP("buildings|NOx|Asthma symptoms cough", US_national_yearly!$D:$AM, 27, FALSE) / VLOOKUP("buildings|NOx|Asthma symptoms cough", US_national_yearly!$D:$AM, 10, FALSE), 1)</f>
        <v>1.8418042697103288E-3</v>
      </c>
      <c r="T6" s="7">
        <f>$B6 * IFERROR(VLOOKUP("buildings|NOx|Asthma symptoms cough", US_national_yearly!$D:$AM, 28, FALSE) / VLOOKUP("buildings|NOx|Asthma symptoms cough", US_national_yearly!$D:$AM, 10, FALSE), 1)</f>
        <v>1.8511777684223978E-3</v>
      </c>
      <c r="U6" s="7">
        <f>$B6 * IFERROR(VLOOKUP("buildings|NOx|Asthma symptoms cough", US_national_yearly!$D:$AM, 29, FALSE) / VLOOKUP("buildings|NOx|Asthma symptoms cough", US_national_yearly!$D:$AM, 10, FALSE), 1)</f>
        <v>1.8605512671344669E-3</v>
      </c>
      <c r="V6" s="7">
        <f>$B6 * IFERROR(VLOOKUP("buildings|NOx|Asthma symptoms cough", US_national_yearly!$D:$AM, 30, FALSE) / VLOOKUP("buildings|NOx|Asthma symptoms cough", US_national_yearly!$D:$AM, 10, FALSE), 1)</f>
        <v>1.8699247658465366E-3</v>
      </c>
      <c r="W6" s="7">
        <f>$B6 * IFERROR(VLOOKUP("buildings|NOx|Asthma symptoms cough", US_national_yearly!$D:$AM, 31, FALSE) / VLOOKUP("buildings|NOx|Asthma symptoms cough", US_national_yearly!$D:$AM, 10, FALSE), 1)</f>
        <v>1.8792982645586057E-3</v>
      </c>
      <c r="X6" s="7">
        <f>$B6 * IFERROR(VLOOKUP("buildings|NOx|Asthma symptoms cough", US_national_yearly!$D:$AM, 32, FALSE) / VLOOKUP("buildings|NOx|Asthma symptoms cough", US_national_yearly!$D:$AM, 10, FALSE), 1)</f>
        <v>1.888007534680514E-3</v>
      </c>
      <c r="Y6" s="7">
        <f>$B6 * IFERROR(VLOOKUP("buildings|NOx|Asthma symptoms cough", US_national_yearly!$D:$AM, 33, FALSE) / VLOOKUP("buildings|NOx|Asthma symptoms cough", US_national_yearly!$D:$AM, 10, FALSE), 1)</f>
        <v>1.8967168048024227E-3</v>
      </c>
      <c r="Z6" s="7">
        <f>$B6 * IFERROR(VLOOKUP("buildings|NOx|Asthma symptoms cough", US_national_yearly!$D:$AM, 34, FALSE) / VLOOKUP("buildings|NOx|Asthma symptoms cough", US_national_yearly!$D:$AM, 10, FALSE), 1)</f>
        <v>1.9054260749243313E-3</v>
      </c>
      <c r="AA6" s="7">
        <f>$B6 * IFERROR(VLOOKUP("buildings|NOx|Asthma symptoms cough", US_national_yearly!$D:$AM, 35, FALSE) / VLOOKUP("buildings|NOx|Asthma symptoms cough", US_national_yearly!$D:$AM, 10, FALSE), 1)</f>
        <v>1.91413534504624E-3</v>
      </c>
      <c r="AB6" s="7">
        <f>$B6 * IFERROR(VLOOKUP("buildings|NOx|Asthma symptoms cough", US_national_yearly!$D:$AM, 36, FALSE) / VLOOKUP("buildings|NOx|Asthma symptoms cough", US_national_yearly!$D:$AM, 10, FALSE), 1)</f>
        <v>1.9228446151681488E-3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2.2083212746173714E-3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2.2385427527065738E-3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2.2687642307957761E-3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2.298985708884978E-3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2.3292071869741803E-3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2.3533598108089618E-3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2.3775124346437429E-3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2.3858709443262587E-3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2.394229454008774E-3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2.4025879636912903E-3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2.410946473373806E-3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2.4193049830563218E-3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2.4289700307176059E-3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2.4386350783788904E-3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2.4483001260401749E-3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2.4579651737014594E-3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2.4676302213627438E-3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2.4802529785012172E-3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2.4928757356396901E-3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2.5054984927781634E-3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2.5181212499166359E-3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2.5307440070551088E-3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2.5424722853544593E-3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2.5542005636538089E-3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2.565928841953159E-3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2.5776571202525086E-3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2.5893853985518587E-3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3.3739524751842673E-3</v>
      </c>
      <c r="C8" s="7">
        <f>$B8 * IFERROR(VLOOKUP("buildings|NOx|Asthma symptoms wheeze", US_national_yearly!$D:$AM, 11, FALSE) / VLOOKUP("buildings|NOx|Asthma symptoms wheeze", US_national_yearly!$D:$AM, 10, FALSE), 1)</f>
        <v>3.4201259338276766E-3</v>
      </c>
      <c r="D8" s="7">
        <f>$B8 * IFERROR(VLOOKUP("buildings|NOx|Asthma symptoms wheeze", US_national_yearly!$D:$AM, 12, FALSE) / VLOOKUP("buildings|NOx|Asthma symptoms wheeze", US_national_yearly!$D:$AM, 10, FALSE), 1)</f>
        <v>3.466299392471086E-3</v>
      </c>
      <c r="E8" s="7">
        <f>$B8 * IFERROR(VLOOKUP("buildings|NOx|Asthma symptoms wheeze", US_national_yearly!$D:$AM, 13, FALSE) / VLOOKUP("buildings|NOx|Asthma symptoms wheeze", US_national_yearly!$D:$AM, 10, FALSE), 1)</f>
        <v>3.5124728511144948E-3</v>
      </c>
      <c r="F8" s="7">
        <f>$B8 * IFERROR(VLOOKUP("buildings|NOx|Asthma symptoms wheeze", US_national_yearly!$D:$AM, 14, FALSE) / VLOOKUP("buildings|NOx|Asthma symptoms wheeze", US_national_yearly!$D:$AM, 10, FALSE), 1)</f>
        <v>3.558646309757905E-3</v>
      </c>
      <c r="G8" s="7">
        <f>$B8 * IFERROR(VLOOKUP("buildings|NOx|Asthma symptoms wheeze", US_national_yearly!$D:$AM, 15, FALSE) / VLOOKUP("buildings|NOx|Asthma symptoms wheeze", US_national_yearly!$D:$AM, 10, FALSE), 1)</f>
        <v>3.595547555179606E-3</v>
      </c>
      <c r="H8" s="7">
        <f>$B8 * IFERROR(VLOOKUP("buildings|NOx|Asthma symptoms wheeze", US_national_yearly!$D:$AM, 16, FALSE) / VLOOKUP("buildings|NOx|Asthma symptoms wheeze", US_national_yearly!$D:$AM, 10, FALSE), 1)</f>
        <v>3.6324488006013061E-3</v>
      </c>
      <c r="I8" s="7">
        <f>$B8 * IFERROR(VLOOKUP("buildings|NOx|Asthma symptoms wheeze", US_national_yearly!$D:$AM, 17, FALSE) / VLOOKUP("buildings|NOx|Asthma symptoms wheeze", US_national_yearly!$D:$AM, 10, FALSE), 1)</f>
        <v>3.6452192317707405E-3</v>
      </c>
      <c r="J8" s="7">
        <f>$B8 * IFERROR(VLOOKUP("buildings|NOx|Asthma symptoms wheeze", US_national_yearly!$D:$AM, 18, FALSE) / VLOOKUP("buildings|NOx|Asthma symptoms wheeze", US_national_yearly!$D:$AM, 10, FALSE), 1)</f>
        <v>3.6579896629401736E-3</v>
      </c>
      <c r="K8" s="7">
        <f>$B8 * IFERROR(VLOOKUP("buildings|NOx|Asthma symptoms wheeze", US_national_yearly!$D:$AM, 19, FALSE) / VLOOKUP("buildings|NOx|Asthma symptoms wheeze", US_national_yearly!$D:$AM, 10, FALSE), 1)</f>
        <v>3.6707600941096067E-3</v>
      </c>
      <c r="L8" s="7">
        <f>$B8 * IFERROR(VLOOKUP("buildings|NOx|Asthma symptoms wheeze", US_national_yearly!$D:$AM, 20, FALSE) / VLOOKUP("buildings|NOx|Asthma symptoms wheeze", US_national_yearly!$D:$AM, 10, FALSE), 1)</f>
        <v>3.6835305252790403E-3</v>
      </c>
      <c r="M8" s="7">
        <f>$B8 * IFERROR(VLOOKUP("buildings|NOx|Asthma symptoms wheeze", US_national_yearly!$D:$AM, 21, FALSE) / VLOOKUP("buildings|NOx|Asthma symptoms wheeze", US_national_yearly!$D:$AM, 10, FALSE), 1)</f>
        <v>3.6963009564484743E-3</v>
      </c>
      <c r="N8" s="7">
        <f>$B8 * IFERROR(VLOOKUP("buildings|NOx|Asthma symptoms wheeze", US_national_yearly!$D:$AM, 22, FALSE) / VLOOKUP("buildings|NOx|Asthma symptoms wheeze", US_national_yearly!$D:$AM, 10, FALSE), 1)</f>
        <v>3.7110675631960759E-3</v>
      </c>
      <c r="O8" s="7">
        <f>$B8 * IFERROR(VLOOKUP("buildings|NOx|Asthma symptoms wheeze", US_national_yearly!$D:$AM, 23, FALSE) / VLOOKUP("buildings|NOx|Asthma symptoms wheeze", US_national_yearly!$D:$AM, 10, FALSE), 1)</f>
        <v>3.7258341699436788E-3</v>
      </c>
      <c r="P8" s="7">
        <f>$B8 * IFERROR(VLOOKUP("buildings|NOx|Asthma symptoms wheeze", US_national_yearly!$D:$AM, 24, FALSE) / VLOOKUP("buildings|NOx|Asthma symptoms wheeze", US_national_yearly!$D:$AM, 10, FALSE), 1)</f>
        <v>3.7406007766912805E-3</v>
      </c>
      <c r="Q8" s="7">
        <f>$B8 * IFERROR(VLOOKUP("buildings|NOx|Asthma symptoms wheeze", US_national_yearly!$D:$AM, 25, FALSE) / VLOOKUP("buildings|NOx|Asthma symptoms wheeze", US_national_yearly!$D:$AM, 10, FALSE), 1)</f>
        <v>3.7553673834388834E-3</v>
      </c>
      <c r="R8" s="7">
        <f>$B8 * IFERROR(VLOOKUP("buildings|NOx|Asthma symptoms wheeze", US_national_yearly!$D:$AM, 26, FALSE) / VLOOKUP("buildings|NOx|Asthma symptoms wheeze", US_national_yearly!$D:$AM, 10, FALSE), 1)</f>
        <v>3.7701339901864851E-3</v>
      </c>
      <c r="S8" s="7">
        <f>$B8 * IFERROR(VLOOKUP("buildings|NOx|Asthma symptoms wheeze", US_national_yearly!$D:$AM, 27, FALSE) / VLOOKUP("buildings|NOx|Asthma symptoms wheeze", US_national_yearly!$D:$AM, 10, FALSE), 1)</f>
        <v>3.789419491548218E-3</v>
      </c>
      <c r="T8" s="7">
        <f>$B8 * IFERROR(VLOOKUP("buildings|NOx|Asthma symptoms wheeze", US_national_yearly!$D:$AM, 28, FALSE) / VLOOKUP("buildings|NOx|Asthma symptoms wheeze", US_national_yearly!$D:$AM, 10, FALSE), 1)</f>
        <v>3.8087049929099509E-3</v>
      </c>
      <c r="U8" s="7">
        <f>$B8 * IFERROR(VLOOKUP("buildings|NOx|Asthma symptoms wheeze", US_national_yearly!$D:$AM, 29, FALSE) / VLOOKUP("buildings|NOx|Asthma symptoms wheeze", US_national_yearly!$D:$AM, 10, FALSE), 1)</f>
        <v>3.8279904942716838E-3</v>
      </c>
      <c r="V8" s="7">
        <f>$B8 * IFERROR(VLOOKUP("buildings|NOx|Asthma symptoms wheeze", US_national_yearly!$D:$AM, 30, FALSE) / VLOOKUP("buildings|NOx|Asthma symptoms wheeze", US_national_yearly!$D:$AM, 10, FALSE), 1)</f>
        <v>3.8472759956334167E-3</v>
      </c>
      <c r="W8" s="7">
        <f>$B8 * IFERROR(VLOOKUP("buildings|NOx|Asthma symptoms wheeze", US_national_yearly!$D:$AM, 31, FALSE) / VLOOKUP("buildings|NOx|Asthma symptoms wheeze", US_national_yearly!$D:$AM, 10, FALSE), 1)</f>
        <v>3.8665614969951496E-3</v>
      </c>
      <c r="X8" s="7">
        <f>$B8 * IFERROR(VLOOKUP("buildings|NOx|Asthma symptoms wheeze", US_national_yearly!$D:$AM, 32, FALSE) / VLOOKUP("buildings|NOx|Asthma symptoms wheeze", US_national_yearly!$D:$AM, 10, FALSE), 1)</f>
        <v>3.8844803814974899E-3</v>
      </c>
      <c r="Y8" s="7">
        <f>$B8 * IFERROR(VLOOKUP("buildings|NOx|Asthma symptoms wheeze", US_national_yearly!$D:$AM, 33, FALSE) / VLOOKUP("buildings|NOx|Asthma symptoms wheeze", US_national_yearly!$D:$AM, 10, FALSE), 1)</f>
        <v>3.9023992659998302E-3</v>
      </c>
      <c r="Z8" s="7">
        <f>$B8 * IFERROR(VLOOKUP("buildings|NOx|Asthma symptoms wheeze", US_national_yearly!$D:$AM, 34, FALSE) / VLOOKUP("buildings|NOx|Asthma symptoms wheeze", US_national_yearly!$D:$AM, 10, FALSE), 1)</f>
        <v>3.9203181505021714E-3</v>
      </c>
      <c r="AA8" s="7">
        <f>$B8 * IFERROR(VLOOKUP("buildings|NOx|Asthma symptoms wheeze", US_national_yearly!$D:$AM, 35, FALSE) / VLOOKUP("buildings|NOx|Asthma symptoms wheeze", US_national_yearly!$D:$AM, 10, FALSE), 1)</f>
        <v>3.9382370350045113E-3</v>
      </c>
      <c r="AB8" s="7">
        <f>$B8 * IFERROR(VLOOKUP("buildings|NOx|Asthma symptoms wheeze", US_national_yearly!$D:$AM, 36, FALSE) / VLOOKUP("buildings|NOx|Asthma symptoms wheeze", US_national_yearly!$D:$AM, 10, FALSE), 1)</f>
        <v>3.9561559195068529E-3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4.7984151300740972E-5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4.918300415478343E-5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5.0381857008825889E-5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5.158070986286834E-5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5.2779562716910799E-5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5.3925702526207506E-5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5.5071842335504192E-5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5.6045461100143598E-5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5.7019079864783004E-5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5.799269862942241E-5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5.8966317394061816E-5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5.9939936158701222E-5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6.059079494581048E-5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6.1241653732919732E-5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6.189251252002899E-5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6.2543371307138249E-5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6.3194230094247493E-5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6.3543200865507615E-5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6.3892171636767723E-5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6.4241142408027831E-5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6.4590113179287953E-5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6.4939083950548047E-5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6.5177970909514505E-5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6.5416857868480949E-5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6.5655744827447407E-5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6.5894631786413851E-5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6.6133518745380295E-5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2.9740252678565714E-4</v>
      </c>
      <c r="C13" s="7">
        <f>$B13 * IFERROR(VLOOKUP("buildings|NOx|Non-fatal heart attacks", US_national_yearly!$D:$AM, 11, FALSE) / VLOOKUP("buildings|NOx|Non-fatal heart attacks", US_national_yearly!$D:$AM, 10, FALSE), 1)</f>
        <v>3.0591060671397648E-4</v>
      </c>
      <c r="D13" s="7">
        <f>$B13 * IFERROR(VLOOKUP("buildings|NOx|Non-fatal heart attacks", US_national_yearly!$D:$AM, 12, FALSE) / VLOOKUP("buildings|NOx|Non-fatal heart attacks", US_national_yearly!$D:$AM, 10, FALSE), 1)</f>
        <v>3.1441868664229593E-4</v>
      </c>
      <c r="E13" s="7">
        <f>$B13 * IFERROR(VLOOKUP("buildings|NOx|Non-fatal heart attacks", US_national_yearly!$D:$AM, 13, FALSE) / VLOOKUP("buildings|NOx|Non-fatal heart attacks", US_national_yearly!$D:$AM, 10, FALSE), 1)</f>
        <v>3.2292676657061522E-4</v>
      </c>
      <c r="F13" s="7">
        <f>$B13 * IFERROR(VLOOKUP("buildings|NOx|Non-fatal heart attacks", US_national_yearly!$D:$AM, 14, FALSE) / VLOOKUP("buildings|NOx|Non-fatal heart attacks", US_national_yearly!$D:$AM, 10, FALSE), 1)</f>
        <v>3.3143484649893456E-4</v>
      </c>
      <c r="G13" s="7">
        <f>$B13 * IFERROR(VLOOKUP("buildings|NOx|Non-fatal heart attacks", US_national_yearly!$D:$AM, 15, FALSE) / VLOOKUP("buildings|NOx|Non-fatal heart attacks", US_national_yearly!$D:$AM, 10, FALSE), 1)</f>
        <v>3.3938732019152257E-4</v>
      </c>
      <c r="H13" s="7">
        <f>$B13 * IFERROR(VLOOKUP("buildings|NOx|Non-fatal heart attacks", US_national_yearly!$D:$AM, 16, FALSE) / VLOOKUP("buildings|NOx|Non-fatal heart attacks", US_national_yearly!$D:$AM, 10, FALSE), 1)</f>
        <v>3.4733979388411069E-4</v>
      </c>
      <c r="I13" s="7">
        <f>$B13 * IFERROR(VLOOKUP("buildings|NOx|Non-fatal heart attacks", US_national_yearly!$D:$AM, 17, FALSE) / VLOOKUP("buildings|NOx|Non-fatal heart attacks", US_national_yearly!$D:$AM, 10, FALSE), 1)</f>
        <v>3.5361372396757438E-4</v>
      </c>
      <c r="J13" s="7">
        <f>$B13 * IFERROR(VLOOKUP("buildings|NOx|Non-fatal heart attacks", US_national_yearly!$D:$AM, 18, FALSE) / VLOOKUP("buildings|NOx|Non-fatal heart attacks", US_national_yearly!$D:$AM, 10, FALSE), 1)</f>
        <v>3.5988765405103813E-4</v>
      </c>
      <c r="K13" s="7">
        <f>$B13 * IFERROR(VLOOKUP("buildings|NOx|Non-fatal heart attacks", US_national_yearly!$D:$AM, 19, FALSE) / VLOOKUP("buildings|NOx|Non-fatal heart attacks", US_national_yearly!$D:$AM, 10, FALSE), 1)</f>
        <v>3.6616158413450199E-4</v>
      </c>
      <c r="L13" s="7">
        <f>$B13 * IFERROR(VLOOKUP("buildings|NOx|Non-fatal heart attacks", US_national_yearly!$D:$AM, 20, FALSE) / VLOOKUP("buildings|NOx|Non-fatal heart attacks", US_national_yearly!$D:$AM, 10, FALSE), 1)</f>
        <v>3.7243551421796553E-4</v>
      </c>
      <c r="M13" s="7">
        <f>$B13 * IFERROR(VLOOKUP("buildings|NOx|Non-fatal heart attacks", US_national_yearly!$D:$AM, 21, FALSE) / VLOOKUP("buildings|NOx|Non-fatal heart attacks", US_national_yearly!$D:$AM, 10, FALSE), 1)</f>
        <v>3.7870944430142938E-4</v>
      </c>
      <c r="N13" s="7">
        <f>$B13 * IFERROR(VLOOKUP("buildings|NOx|Non-fatal heart attacks", US_national_yearly!$D:$AM, 22, FALSE) / VLOOKUP("buildings|NOx|Non-fatal heart attacks", US_national_yearly!$D:$AM, 10, FALSE), 1)</f>
        <v>3.8248528561375743E-4</v>
      </c>
      <c r="O13" s="7">
        <f>$B13 * IFERROR(VLOOKUP("buildings|NOx|Non-fatal heart attacks", US_national_yearly!$D:$AM, 23, FALSE) / VLOOKUP("buildings|NOx|Non-fatal heart attacks", US_national_yearly!$D:$AM, 10, FALSE), 1)</f>
        <v>3.8626112692608541E-4</v>
      </c>
      <c r="P13" s="7">
        <f>$B13 * IFERROR(VLOOKUP("buildings|NOx|Non-fatal heart attacks", US_national_yearly!$D:$AM, 24, FALSE) / VLOOKUP("buildings|NOx|Non-fatal heart attacks", US_national_yearly!$D:$AM, 10, FALSE), 1)</f>
        <v>3.9003696823841345E-4</v>
      </c>
      <c r="Q13" s="7">
        <f>$B13 * IFERROR(VLOOKUP("buildings|NOx|Non-fatal heart attacks", US_national_yearly!$D:$AM, 25, FALSE) / VLOOKUP("buildings|NOx|Non-fatal heart attacks", US_national_yearly!$D:$AM, 10, FALSE), 1)</f>
        <v>3.9381280955074155E-4</v>
      </c>
      <c r="R13" s="7">
        <f>$B13 * IFERROR(VLOOKUP("buildings|NOx|Non-fatal heart attacks", US_national_yearly!$D:$AM, 26, FALSE) / VLOOKUP("buildings|NOx|Non-fatal heart attacks", US_national_yearly!$D:$AM, 10, FALSE), 1)</f>
        <v>3.9758865086306954E-4</v>
      </c>
      <c r="S13" s="7">
        <f>$B13 * IFERROR(VLOOKUP("buildings|NOx|Non-fatal heart attacks", US_national_yearly!$D:$AM, 27, FALSE) / VLOOKUP("buildings|NOx|Non-fatal heart attacks", US_national_yearly!$D:$AM, 10, FALSE), 1)</f>
        <v>3.9930454128222885E-4</v>
      </c>
      <c r="T13" s="7">
        <f>$B13 * IFERROR(VLOOKUP("buildings|NOx|Non-fatal heart attacks", US_national_yearly!$D:$AM, 28, FALSE) / VLOOKUP("buildings|NOx|Non-fatal heart attacks", US_national_yearly!$D:$AM, 10, FALSE), 1)</f>
        <v>4.0102043170138827E-4</v>
      </c>
      <c r="U13" s="7">
        <f>$B13 * IFERROR(VLOOKUP("buildings|NOx|Non-fatal heart attacks", US_national_yearly!$D:$AM, 29, FALSE) / VLOOKUP("buildings|NOx|Non-fatal heart attacks", US_national_yearly!$D:$AM, 10, FALSE), 1)</f>
        <v>4.0273632212054758E-4</v>
      </c>
      <c r="V13" s="7">
        <f>$B13 * IFERROR(VLOOKUP("buildings|NOx|Non-fatal heart attacks", US_national_yearly!$D:$AM, 30, FALSE) / VLOOKUP("buildings|NOx|Non-fatal heart attacks", US_national_yearly!$D:$AM, 10, FALSE), 1)</f>
        <v>4.0445221253970689E-4</v>
      </c>
      <c r="W13" s="7">
        <f>$B13 * IFERROR(VLOOKUP("buildings|NOx|Non-fatal heart attacks", US_national_yearly!$D:$AM, 31, FALSE) / VLOOKUP("buildings|NOx|Non-fatal heart attacks", US_national_yearly!$D:$AM, 10, FALSE), 1)</f>
        <v>4.0616810295886625E-4</v>
      </c>
      <c r="X13" s="7">
        <f>$B13 * IFERROR(VLOOKUP("buildings|NOx|Non-fatal heart attacks", US_national_yearly!$D:$AM, 32, FALSE) / VLOOKUP("buildings|NOx|Non-fatal heart attacks", US_national_yearly!$D:$AM, 10, FALSE), 1)</f>
        <v>4.0731589392175541E-4</v>
      </c>
      <c r="Y13" s="7">
        <f>$B13 * IFERROR(VLOOKUP("buildings|NOx|Non-fatal heart attacks", US_national_yearly!$D:$AM, 33, FALSE) / VLOOKUP("buildings|NOx|Non-fatal heart attacks", US_national_yearly!$D:$AM, 10, FALSE), 1)</f>
        <v>4.0846368488464452E-4</v>
      </c>
      <c r="Z13" s="7">
        <f>$B13 * IFERROR(VLOOKUP("buildings|NOx|Non-fatal heart attacks", US_national_yearly!$D:$AM, 34, FALSE) / VLOOKUP("buildings|NOx|Non-fatal heart attacks", US_national_yearly!$D:$AM, 10, FALSE), 1)</f>
        <v>4.0961147584753373E-4</v>
      </c>
      <c r="AA13" s="7">
        <f>$B13 * IFERROR(VLOOKUP("buildings|NOx|Non-fatal heart attacks", US_national_yearly!$D:$AM, 35, FALSE) / VLOOKUP("buildings|NOx|Non-fatal heart attacks", US_national_yearly!$D:$AM, 10, FALSE), 1)</f>
        <v>4.1075926681042284E-4</v>
      </c>
      <c r="AB13" s="7">
        <f>$B13 * IFERROR(VLOOKUP("buildings|NOx|Non-fatal heart attacks", US_national_yearly!$D:$AM, 36, FALSE) / VLOOKUP("buildings|NOx|Non-fatal heart attacks", US_national_yearly!$D:$AM, 10, FALSE), 1)</f>
        <v>4.11907057773312E-4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0.21314549171406555</v>
      </c>
      <c r="C14" s="7">
        <f>$B14 * IFERROR(VLOOKUP("buildings|NOx|Minor restricted activity days", US_national_yearly!$D:$AM, 11, FALSE) / VLOOKUP("buildings|NOx|Minor restricted activity days", US_national_yearly!$D:$AM, 10, FALSE), 1)</f>
        <v>0.21347624310980859</v>
      </c>
      <c r="D14" s="7">
        <f>$B14 * IFERROR(VLOOKUP("buildings|NOx|Minor restricted activity days", US_national_yearly!$D:$AM, 12, FALSE) / VLOOKUP("buildings|NOx|Minor restricted activity days", US_national_yearly!$D:$AM, 10, FALSE), 1)</f>
        <v>0.21380699450555163</v>
      </c>
      <c r="E14" s="7">
        <f>$B14 * IFERROR(VLOOKUP("buildings|NOx|Minor restricted activity days", US_national_yearly!$D:$AM, 13, FALSE) / VLOOKUP("buildings|NOx|Minor restricted activity days", US_national_yearly!$D:$AM, 10, FALSE), 1)</f>
        <v>0.21413774590129467</v>
      </c>
      <c r="F14" s="7">
        <f>$B14 * IFERROR(VLOOKUP("buildings|NOx|Minor restricted activity days", US_national_yearly!$D:$AM, 14, FALSE) / VLOOKUP("buildings|NOx|Minor restricted activity days", US_national_yearly!$D:$AM, 10, FALSE), 1)</f>
        <v>0.21446849729703768</v>
      </c>
      <c r="G14" s="7">
        <f>$B14 * IFERROR(VLOOKUP("buildings|NOx|Minor restricted activity days", US_national_yearly!$D:$AM, 15, FALSE) / VLOOKUP("buildings|NOx|Minor restricted activity days", US_national_yearly!$D:$AM, 10, FALSE), 1)</f>
        <v>0.2150626927534488</v>
      </c>
      <c r="H14" s="7">
        <f>$B14 * IFERROR(VLOOKUP("buildings|NOx|Minor restricted activity days", US_national_yearly!$D:$AM, 16, FALSE) / VLOOKUP("buildings|NOx|Minor restricted activity days", US_national_yearly!$D:$AM, 10, FALSE), 1)</f>
        <v>0.21565688820985993</v>
      </c>
      <c r="I14" s="7">
        <f>$B14 * IFERROR(VLOOKUP("buildings|NOx|Minor restricted activity days", US_national_yearly!$D:$AM, 17, FALSE) / VLOOKUP("buildings|NOx|Minor restricted activity days", US_national_yearly!$D:$AM, 10, FALSE), 1)</f>
        <v>0.21681539982504217</v>
      </c>
      <c r="J14" s="7">
        <f>$B14 * IFERROR(VLOOKUP("buildings|NOx|Minor restricted activity days", US_national_yearly!$D:$AM, 18, FALSE) / VLOOKUP("buildings|NOx|Minor restricted activity days", US_national_yearly!$D:$AM, 10, FALSE), 1)</f>
        <v>0.2179739114402244</v>
      </c>
      <c r="K14" s="7">
        <f>$B14 * IFERROR(VLOOKUP("buildings|NOx|Minor restricted activity days", US_national_yearly!$D:$AM, 19, FALSE) / VLOOKUP("buildings|NOx|Minor restricted activity days", US_national_yearly!$D:$AM, 10, FALSE), 1)</f>
        <v>0.21913242305540662</v>
      </c>
      <c r="L14" s="7">
        <f>$B14 * IFERROR(VLOOKUP("buildings|NOx|Minor restricted activity days", US_national_yearly!$D:$AM, 20, FALSE) / VLOOKUP("buildings|NOx|Minor restricted activity days", US_national_yearly!$D:$AM, 10, FALSE), 1)</f>
        <v>0.22029093467058886</v>
      </c>
      <c r="M14" s="7">
        <f>$B14 * IFERROR(VLOOKUP("buildings|NOx|Minor restricted activity days", US_national_yearly!$D:$AM, 21, FALSE) / VLOOKUP("buildings|NOx|Minor restricted activity days", US_national_yearly!$D:$AM, 10, FALSE), 1)</f>
        <v>0.2214494462857711</v>
      </c>
      <c r="N14" s="7">
        <f>$B14 * IFERROR(VLOOKUP("buildings|NOx|Minor restricted activity days", US_national_yearly!$D:$AM, 22, FALSE) / VLOOKUP("buildings|NOx|Minor restricted activity days", US_national_yearly!$D:$AM, 10, FALSE), 1)</f>
        <v>0.22310682260078216</v>
      </c>
      <c r="O14" s="7">
        <f>$B14 * IFERROR(VLOOKUP("buildings|NOx|Minor restricted activity days", US_national_yearly!$D:$AM, 23, FALSE) / VLOOKUP("buildings|NOx|Minor restricted activity days", US_national_yearly!$D:$AM, 10, FALSE), 1)</f>
        <v>0.22476419891579319</v>
      </c>
      <c r="P14" s="7">
        <f>$B14 * IFERROR(VLOOKUP("buildings|NOx|Minor restricted activity days", US_national_yearly!$D:$AM, 24, FALSE) / VLOOKUP("buildings|NOx|Minor restricted activity days", US_national_yearly!$D:$AM, 10, FALSE), 1)</f>
        <v>0.22642157523080425</v>
      </c>
      <c r="Q14" s="7">
        <f>$B14 * IFERROR(VLOOKUP("buildings|NOx|Minor restricted activity days", US_national_yearly!$D:$AM, 25, FALSE) / VLOOKUP("buildings|NOx|Minor restricted activity days", US_national_yearly!$D:$AM, 10, FALSE), 1)</f>
        <v>0.22807895154581528</v>
      </c>
      <c r="R14" s="7">
        <f>$B14 * IFERROR(VLOOKUP("buildings|NOx|Minor restricted activity days", US_national_yearly!$D:$AM, 26, FALSE) / VLOOKUP("buildings|NOx|Minor restricted activity days", US_national_yearly!$D:$AM, 10, FALSE), 1)</f>
        <v>0.22973632786082632</v>
      </c>
      <c r="S14" s="7">
        <f>$B14 * IFERROR(VLOOKUP("buildings|NOx|Minor restricted activity days", US_national_yearly!$D:$AM, 27, FALSE) / VLOOKUP("buildings|NOx|Minor restricted activity days", US_national_yearly!$D:$AM, 10, FALSE), 1)</f>
        <v>0.23139322706219623</v>
      </c>
      <c r="T14" s="7">
        <f>$B14 * IFERROR(VLOOKUP("buildings|NOx|Minor restricted activity days", US_national_yearly!$D:$AM, 28, FALSE) / VLOOKUP("buildings|NOx|Minor restricted activity days", US_national_yearly!$D:$AM, 10, FALSE), 1)</f>
        <v>0.23305012626356617</v>
      </c>
      <c r="U14" s="7">
        <f>$B14 * IFERROR(VLOOKUP("buildings|NOx|Minor restricted activity days", US_national_yearly!$D:$AM, 29, FALSE) / VLOOKUP("buildings|NOx|Minor restricted activity days", US_national_yearly!$D:$AM, 10, FALSE), 1)</f>
        <v>0.23470702546493613</v>
      </c>
      <c r="V14" s="7">
        <f>$B14 * IFERROR(VLOOKUP("buildings|NOx|Minor restricted activity days", US_national_yearly!$D:$AM, 30, FALSE) / VLOOKUP("buildings|NOx|Minor restricted activity days", US_national_yearly!$D:$AM, 10, FALSE), 1)</f>
        <v>0.23636392466630604</v>
      </c>
      <c r="W14" s="7">
        <f>$B14 * IFERROR(VLOOKUP("buildings|NOx|Minor restricted activity days", US_national_yearly!$D:$AM, 31, FALSE) / VLOOKUP("buildings|NOx|Minor restricted activity days", US_national_yearly!$D:$AM, 10, FALSE), 1)</f>
        <v>0.23802082386767598</v>
      </c>
      <c r="X14" s="7">
        <f>$B14 * IFERROR(VLOOKUP("buildings|NOx|Minor restricted activity days", US_national_yearly!$D:$AM, 32, FALSE) / VLOOKUP("buildings|NOx|Minor restricted activity days", US_national_yearly!$D:$AM, 10, FALSE), 1)</f>
        <v>0.23942213158253137</v>
      </c>
      <c r="Y14" s="7">
        <f>$B14 * IFERROR(VLOOKUP("buildings|NOx|Minor restricted activity days", US_national_yearly!$D:$AM, 33, FALSE) / VLOOKUP("buildings|NOx|Minor restricted activity days", US_national_yearly!$D:$AM, 10, FALSE), 1)</f>
        <v>0.24082343929738678</v>
      </c>
      <c r="Z14" s="7">
        <f>$B14 * IFERROR(VLOOKUP("buildings|NOx|Minor restricted activity days", US_national_yearly!$D:$AM, 34, FALSE) / VLOOKUP("buildings|NOx|Minor restricted activity days", US_national_yearly!$D:$AM, 10, FALSE), 1)</f>
        <v>0.24222474701224214</v>
      </c>
      <c r="AA14" s="7">
        <f>$B14 * IFERROR(VLOOKUP("buildings|NOx|Minor restricted activity days", US_national_yearly!$D:$AM, 35, FALSE) / VLOOKUP("buildings|NOx|Minor restricted activity days", US_national_yearly!$D:$AM, 10, FALSE), 1)</f>
        <v>0.24362605472709756</v>
      </c>
      <c r="AB14" s="7">
        <f>$B14 * IFERROR(VLOOKUP("buildings|NOx|Minor restricted activity days", US_national_yearly!$D:$AM, 36, FALSE) / VLOOKUP("buildings|NOx|Minor restricted activity days", US_national_yearly!$D:$AM, 10, FALSE), 1)</f>
        <v>0.24502736244195295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3.6181761620133854E-2</v>
      </c>
      <c r="C15" s="7">
        <f>$B15 * IFERROR(VLOOKUP("buildings|NOx|Work loss days", US_national_yearly!$D:$AM, 11, FALSE) / VLOOKUP("buildings|NOx|Work loss days", US_national_yearly!$D:$AM, 10, FALSE), 1)</f>
        <v>3.6262871543742005E-2</v>
      </c>
      <c r="D15" s="7">
        <f>$B15 * IFERROR(VLOOKUP("buildings|NOx|Work loss days", US_national_yearly!$D:$AM, 12, FALSE) / VLOOKUP("buildings|NOx|Work loss days", US_national_yearly!$D:$AM, 10, FALSE), 1)</f>
        <v>3.6343981467350149E-2</v>
      </c>
      <c r="E15" s="7">
        <f>$B15 * IFERROR(VLOOKUP("buildings|NOx|Work loss days", US_national_yearly!$D:$AM, 13, FALSE) / VLOOKUP("buildings|NOx|Work loss days", US_national_yearly!$D:$AM, 10, FALSE), 1)</f>
        <v>3.6425091390958293E-2</v>
      </c>
      <c r="F15" s="7">
        <f>$B15 * IFERROR(VLOOKUP("buildings|NOx|Work loss days", US_national_yearly!$D:$AM, 14, FALSE) / VLOOKUP("buildings|NOx|Work loss days", US_national_yearly!$D:$AM, 10, FALSE), 1)</f>
        <v>3.6506201314566444E-2</v>
      </c>
      <c r="G15" s="7">
        <f>$B15 * IFERROR(VLOOKUP("buildings|NOx|Work loss days", US_national_yearly!$D:$AM, 15, FALSE) / VLOOKUP("buildings|NOx|Work loss days", US_national_yearly!$D:$AM, 10, FALSE), 1)</f>
        <v>3.662434701194793E-2</v>
      </c>
      <c r="H15" s="7">
        <f>$B15 * IFERROR(VLOOKUP("buildings|NOx|Work loss days", US_national_yearly!$D:$AM, 16, FALSE) / VLOOKUP("buildings|NOx|Work loss days", US_national_yearly!$D:$AM, 10, FALSE), 1)</f>
        <v>3.6742492709329416E-2</v>
      </c>
      <c r="I15" s="7">
        <f>$B15 * IFERROR(VLOOKUP("buildings|NOx|Work loss days", US_national_yearly!$D:$AM, 17, FALSE) / VLOOKUP("buildings|NOx|Work loss days", US_national_yearly!$D:$AM, 10, FALSE), 1)</f>
        <v>3.6933569913234231E-2</v>
      </c>
      <c r="J15" s="7">
        <f>$B15 * IFERROR(VLOOKUP("buildings|NOx|Work loss days", US_national_yearly!$D:$AM, 18, FALSE) / VLOOKUP("buildings|NOx|Work loss days", US_national_yearly!$D:$AM, 10, FALSE), 1)</f>
        <v>3.7124647117139038E-2</v>
      </c>
      <c r="K15" s="7">
        <f>$B15 * IFERROR(VLOOKUP("buildings|NOx|Work loss days", US_national_yearly!$D:$AM, 19, FALSE) / VLOOKUP("buildings|NOx|Work loss days", US_national_yearly!$D:$AM, 10, FALSE), 1)</f>
        <v>3.7315724321043853E-2</v>
      </c>
      <c r="L15" s="7">
        <f>$B15 * IFERROR(VLOOKUP("buildings|NOx|Work loss days", US_national_yearly!$D:$AM, 20, FALSE) / VLOOKUP("buildings|NOx|Work loss days", US_national_yearly!$D:$AM, 10, FALSE), 1)</f>
        <v>3.7506801524948674E-2</v>
      </c>
      <c r="M15" s="7">
        <f>$B15 * IFERROR(VLOOKUP("buildings|NOx|Work loss days", US_national_yearly!$D:$AM, 21, FALSE) / VLOOKUP("buildings|NOx|Work loss days", US_national_yearly!$D:$AM, 10, FALSE), 1)</f>
        <v>3.7697878728853482E-2</v>
      </c>
      <c r="N15" s="7">
        <f>$B15 * IFERROR(VLOOKUP("buildings|NOx|Work loss days", US_national_yearly!$D:$AM, 22, FALSE) / VLOOKUP("buildings|NOx|Work loss days", US_national_yearly!$D:$AM, 10, FALSE), 1)</f>
        <v>3.7946470486312403E-2</v>
      </c>
      <c r="O15" s="7">
        <f>$B15 * IFERROR(VLOOKUP("buildings|NOx|Work loss days", US_national_yearly!$D:$AM, 23, FALSE) / VLOOKUP("buildings|NOx|Work loss days", US_national_yearly!$D:$AM, 10, FALSE), 1)</f>
        <v>3.8195062243771324E-2</v>
      </c>
      <c r="P15" s="7">
        <f>$B15 * IFERROR(VLOOKUP("buildings|NOx|Work loss days", US_national_yearly!$D:$AM, 24, FALSE) / VLOOKUP("buildings|NOx|Work loss days", US_national_yearly!$D:$AM, 10, FALSE), 1)</f>
        <v>3.8443654001230246E-2</v>
      </c>
      <c r="Q15" s="7">
        <f>$B15 * IFERROR(VLOOKUP("buildings|NOx|Work loss days", US_national_yearly!$D:$AM, 25, FALSE) / VLOOKUP("buildings|NOx|Work loss days", US_national_yearly!$D:$AM, 10, FALSE), 1)</f>
        <v>3.8692245758689174E-2</v>
      </c>
      <c r="R15" s="7">
        <f>$B15 * IFERROR(VLOOKUP("buildings|NOx|Work loss days", US_national_yearly!$D:$AM, 26, FALSE) / VLOOKUP("buildings|NOx|Work loss days", US_national_yearly!$D:$AM, 10, FALSE), 1)</f>
        <v>3.8940837516148102E-2</v>
      </c>
      <c r="S15" s="7">
        <f>$B15 * IFERROR(VLOOKUP("buildings|NOx|Work loss days", US_national_yearly!$D:$AM, 27, FALSE) / VLOOKUP("buildings|NOx|Work loss days", US_national_yearly!$D:$AM, 10, FALSE), 1)</f>
        <v>3.9217849464460046E-2</v>
      </c>
      <c r="T15" s="7">
        <f>$B15 * IFERROR(VLOOKUP("buildings|NOx|Work loss days", US_national_yearly!$D:$AM, 28, FALSE) / VLOOKUP("buildings|NOx|Work loss days", US_national_yearly!$D:$AM, 10, FALSE), 1)</f>
        <v>3.9494861412771996E-2</v>
      </c>
      <c r="U15" s="7">
        <f>$B15 * IFERROR(VLOOKUP("buildings|NOx|Work loss days", US_national_yearly!$D:$AM, 29, FALSE) / VLOOKUP("buildings|NOx|Work loss days", US_national_yearly!$D:$AM, 10, FALSE), 1)</f>
        <v>3.9771873361083947E-2</v>
      </c>
      <c r="V15" s="7">
        <f>$B15 * IFERROR(VLOOKUP("buildings|NOx|Work loss days", US_national_yearly!$D:$AM, 30, FALSE) / VLOOKUP("buildings|NOx|Work loss days", US_national_yearly!$D:$AM, 10, FALSE), 1)</f>
        <v>4.004888530939589E-2</v>
      </c>
      <c r="W15" s="7">
        <f>$B15 * IFERROR(VLOOKUP("buildings|NOx|Work loss days", US_national_yearly!$D:$AM, 31, FALSE) / VLOOKUP("buildings|NOx|Work loss days", US_national_yearly!$D:$AM, 10, FALSE), 1)</f>
        <v>4.0325897257707834E-2</v>
      </c>
      <c r="X15" s="7">
        <f>$B15 * IFERROR(VLOOKUP("buildings|NOx|Work loss days", US_national_yearly!$D:$AM, 32, FALSE) / VLOOKUP("buildings|NOx|Work loss days", US_national_yearly!$D:$AM, 10, FALSE), 1)</f>
        <v>4.056640150695117E-2</v>
      </c>
      <c r="Y15" s="7">
        <f>$B15 * IFERROR(VLOOKUP("buildings|NOx|Work loss days", US_national_yearly!$D:$AM, 33, FALSE) / VLOOKUP("buildings|NOx|Work loss days", US_national_yearly!$D:$AM, 10, FALSE), 1)</f>
        <v>4.08069057561945E-2</v>
      </c>
      <c r="Z15" s="7">
        <f>$B15 * IFERROR(VLOOKUP("buildings|NOx|Work loss days", US_national_yearly!$D:$AM, 34, FALSE) / VLOOKUP("buildings|NOx|Work loss days", US_national_yearly!$D:$AM, 10, FALSE), 1)</f>
        <v>4.1047410005437837E-2</v>
      </c>
      <c r="AA15" s="7">
        <f>$B15 * IFERROR(VLOOKUP("buildings|NOx|Work loss days", US_national_yearly!$D:$AM, 35, FALSE) / VLOOKUP("buildings|NOx|Work loss days", US_national_yearly!$D:$AM, 10, FALSE), 1)</f>
        <v>4.1287914254681167E-2</v>
      </c>
      <c r="AB15" s="7">
        <f>$B15 * IFERROR(VLOOKUP("buildings|NOx|Work loss days", US_national_yearly!$D:$AM, 36, FALSE) / VLOOKUP("buildings|NOx|Work loss days", US_national_yearly!$D:$AM, 10, FALSE), 1)</f>
        <v>4.1528418503924497E-2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7.6791919929405429E-5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7.9049609198998981E-5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8.130729846859256E-5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8.3564987738186125E-5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8.5822677007779677E-5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8.7967440751945324E-5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9.0112204496110957E-5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9.1916811433917649E-5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9.3721418371724315E-5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9.5526025309530994E-5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9.733063224733766E-5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9.9135239185144312E-5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1.0026408246876234E-4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1.0139292575238033E-4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1.0252176903599834E-4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1.0365061231961634E-4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1.0477945560323435E-4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1.0529525621844804E-4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1.0581105683366174E-4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1.0632685744887545E-4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1.0684265806408913E-4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1.0735845867930284E-4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1.0764596073427105E-4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1.0793346278923927E-4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1.0822096484420748E-4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1.0850846689917571E-4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1.0879596895414391E-4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2.6588813895991963E-3</v>
      </c>
      <c r="C2" s="7">
        <f>$B2 * IFERROR(VLOOKUP("buildings|SO2|Premature mortality", US_national_yearly!$D:$AM, 11, FALSE) / VLOOKUP("buildings|SO2|Premature mortality", US_national_yearly!$D:$AM, 10, FALSE), 1)</f>
        <v>2.692565194061886E-3</v>
      </c>
      <c r="D2" s="7">
        <f>$B2 * IFERROR(VLOOKUP("buildings|SO2|Premature mortality", US_national_yearly!$D:$AM, 12, FALSE) / VLOOKUP("buildings|SO2|Premature mortality", US_national_yearly!$D:$AM, 10, FALSE), 1)</f>
        <v>2.7262489985245748E-3</v>
      </c>
      <c r="E2" s="7">
        <f>$B2 * IFERROR(VLOOKUP("buildings|SO2|Premature mortality", US_national_yearly!$D:$AM, 13, FALSE) / VLOOKUP("buildings|SO2|Premature mortality", US_national_yearly!$D:$AM, 10, FALSE), 1)</f>
        <v>2.7599328029872645E-3</v>
      </c>
      <c r="F2" s="7">
        <f>$B2 * IFERROR(VLOOKUP("buildings|SO2|Premature mortality", US_national_yearly!$D:$AM, 14, FALSE) / VLOOKUP("buildings|SO2|Premature mortality", US_national_yearly!$D:$AM, 10, FALSE), 1)</f>
        <v>2.7936166074499541E-3</v>
      </c>
      <c r="G2" s="7">
        <f>$B2 * IFERROR(VLOOKUP("buildings|SO2|Premature mortality", US_national_yearly!$D:$AM, 15, FALSE) / VLOOKUP("buildings|SO2|Premature mortality", US_national_yearly!$D:$AM, 10, FALSE), 1)</f>
        <v>2.8585184639647369E-3</v>
      </c>
      <c r="H2" s="7">
        <f>$B2 * IFERROR(VLOOKUP("buildings|SO2|Premature mortality", US_national_yearly!$D:$AM, 16, FALSE) / VLOOKUP("buildings|SO2|Premature mortality", US_national_yearly!$D:$AM, 10, FALSE), 1)</f>
        <v>2.92342032047952E-3</v>
      </c>
      <c r="I2" s="7">
        <f>$B2 * IFERROR(VLOOKUP("buildings|SO2|Premature mortality", US_national_yearly!$D:$AM, 17, FALSE) / VLOOKUP("buildings|SO2|Premature mortality", US_national_yearly!$D:$AM, 10, FALSE), 1)</f>
        <v>2.9663330552216717E-3</v>
      </c>
      <c r="J2" s="7">
        <f>$B2 * IFERROR(VLOOKUP("buildings|SO2|Premature mortality", US_national_yearly!$D:$AM, 18, FALSE) / VLOOKUP("buildings|SO2|Premature mortality", US_national_yearly!$D:$AM, 10, FALSE), 1)</f>
        <v>3.0092457899638225E-3</v>
      </c>
      <c r="K2" s="7">
        <f>$B2 * IFERROR(VLOOKUP("buildings|SO2|Premature mortality", US_national_yearly!$D:$AM, 19, FALSE) / VLOOKUP("buildings|SO2|Premature mortality", US_national_yearly!$D:$AM, 10, FALSE), 1)</f>
        <v>3.0521585247059741E-3</v>
      </c>
      <c r="L2" s="7">
        <f>$B2 * IFERROR(VLOOKUP("buildings|SO2|Premature mortality", US_national_yearly!$D:$AM, 20, FALSE) / VLOOKUP("buildings|SO2|Premature mortality", US_national_yearly!$D:$AM, 10, FALSE), 1)</f>
        <v>3.0950712594481253E-3</v>
      </c>
      <c r="M2" s="7">
        <f>$B2 * IFERROR(VLOOKUP("buildings|SO2|Premature mortality", US_national_yearly!$D:$AM, 21, FALSE) / VLOOKUP("buildings|SO2|Premature mortality", US_national_yearly!$D:$AM, 10, FALSE), 1)</f>
        <v>3.1379839941902766E-3</v>
      </c>
      <c r="N2" s="7">
        <f>$B2 * IFERROR(VLOOKUP("buildings|SO2|Premature mortality", US_national_yearly!$D:$AM, 22, FALSE) / VLOOKUP("buildings|SO2|Premature mortality", US_national_yearly!$D:$AM, 10, FALSE), 1)</f>
        <v>3.1715059152300044E-3</v>
      </c>
      <c r="O2" s="7">
        <f>$B2 * IFERROR(VLOOKUP("buildings|SO2|Premature mortality", US_national_yearly!$D:$AM, 23, FALSE) / VLOOKUP("buildings|SO2|Premature mortality", US_national_yearly!$D:$AM, 10, FALSE), 1)</f>
        <v>3.2050278362697302E-3</v>
      </c>
      <c r="P2" s="7">
        <f>$B2 * IFERROR(VLOOKUP("buildings|SO2|Premature mortality", US_national_yearly!$D:$AM, 24, FALSE) / VLOOKUP("buildings|SO2|Premature mortality", US_national_yearly!$D:$AM, 10, FALSE), 1)</f>
        <v>3.2385497573094572E-3</v>
      </c>
      <c r="Q2" s="7">
        <f>$B2 * IFERROR(VLOOKUP("buildings|SO2|Premature mortality", US_national_yearly!$D:$AM, 25, FALSE) / VLOOKUP("buildings|SO2|Premature mortality", US_national_yearly!$D:$AM, 10, FALSE), 1)</f>
        <v>3.2720716783491833E-3</v>
      </c>
      <c r="R2" s="7">
        <f>$B2 * IFERROR(VLOOKUP("buildings|SO2|Premature mortality", US_national_yearly!$D:$AM, 26, FALSE) / VLOOKUP("buildings|SO2|Premature mortality", US_national_yearly!$D:$AM, 10, FALSE), 1)</f>
        <v>3.3055935993889104E-3</v>
      </c>
      <c r="S2" s="7">
        <f>$B2 * IFERROR(VLOOKUP("buildings|SO2|Premature mortality", US_national_yearly!$D:$AM, 27, FALSE) / VLOOKUP("buildings|SO2|Premature mortality", US_national_yearly!$D:$AM, 10, FALSE), 1)</f>
        <v>3.3235349141734222E-3</v>
      </c>
      <c r="T2" s="7">
        <f>$B2 * IFERROR(VLOOKUP("buildings|SO2|Premature mortality", US_national_yearly!$D:$AM, 28, FALSE) / VLOOKUP("buildings|SO2|Premature mortality", US_national_yearly!$D:$AM, 10, FALSE), 1)</f>
        <v>3.3414762289579346E-3</v>
      </c>
      <c r="U2" s="7">
        <f>$B2 * IFERROR(VLOOKUP("buildings|SO2|Premature mortality", US_national_yearly!$D:$AM, 29, FALSE) / VLOOKUP("buildings|SO2|Premature mortality", US_national_yearly!$D:$AM, 10, FALSE), 1)</f>
        <v>3.359417543742446E-3</v>
      </c>
      <c r="V2" s="7">
        <f>$B2 * IFERROR(VLOOKUP("buildings|SO2|Premature mortality", US_national_yearly!$D:$AM, 30, FALSE) / VLOOKUP("buildings|SO2|Premature mortality", US_national_yearly!$D:$AM, 10, FALSE), 1)</f>
        <v>3.3773588585269583E-3</v>
      </c>
      <c r="W2" s="7">
        <f>$B2 * IFERROR(VLOOKUP("buildings|SO2|Premature mortality", US_national_yearly!$D:$AM, 31, FALSE) / VLOOKUP("buildings|SO2|Premature mortality", US_national_yearly!$D:$AM, 10, FALSE), 1)</f>
        <v>3.3953001733114702E-3</v>
      </c>
      <c r="X2" s="7">
        <f>$B2 * IFERROR(VLOOKUP("buildings|SO2|Premature mortality", US_national_yearly!$D:$AM, 32, FALSE) / VLOOKUP("buildings|SO2|Premature mortality", US_national_yearly!$D:$AM, 10, FALSE), 1)</f>
        <v>3.3989254842950859E-3</v>
      </c>
      <c r="Y2" s="7">
        <f>$B2 * IFERROR(VLOOKUP("buildings|SO2|Premature mortality", US_national_yearly!$D:$AM, 33, FALSE) / VLOOKUP("buildings|SO2|Premature mortality", US_national_yearly!$D:$AM, 10, FALSE), 1)</f>
        <v>3.4025507952787012E-3</v>
      </c>
      <c r="Z2" s="7">
        <f>$B2 * IFERROR(VLOOKUP("buildings|SO2|Premature mortality", US_national_yearly!$D:$AM, 34, FALSE) / VLOOKUP("buildings|SO2|Premature mortality", US_national_yearly!$D:$AM, 10, FALSE), 1)</f>
        <v>3.4061761062623166E-3</v>
      </c>
      <c r="AA2" s="7">
        <f>$B2 * IFERROR(VLOOKUP("buildings|SO2|Premature mortality", US_national_yearly!$D:$AM, 35, FALSE) / VLOOKUP("buildings|SO2|Premature mortality", US_national_yearly!$D:$AM, 10, FALSE), 1)</f>
        <v>3.4098014172459319E-3</v>
      </c>
      <c r="AB2" s="7">
        <f>$B2 * IFERROR(VLOOKUP("buildings|SO2|Premature mortality", US_national_yearly!$D:$AM, 36, FALSE) / VLOOKUP("buildings|SO2|Premature mortality", US_national_yearly!$D:$AM, 10, FALSE), 1)</f>
        <v>3.4134267282295476E-3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7.444144051113617E-6</v>
      </c>
      <c r="C3" s="7">
        <f>$B3 * IFERROR(VLOOKUP("buildings|SO2|Infant mortality", US_national_yearly!$D:$AM, 11, FALSE) / VLOOKUP("buildings|SO2|Infant mortality", US_national_yearly!$D:$AM, 10, FALSE), 1)</f>
        <v>7.3803372611690676E-6</v>
      </c>
      <c r="D3" s="7">
        <f>$B3 * IFERROR(VLOOKUP("buildings|SO2|Infant mortality", US_national_yearly!$D:$AM, 12, FALSE) / VLOOKUP("buildings|SO2|Infant mortality", US_national_yearly!$D:$AM, 10, FALSE), 1)</f>
        <v>7.3165304712245182E-6</v>
      </c>
      <c r="E3" s="7">
        <f>$B3 * IFERROR(VLOOKUP("buildings|SO2|Infant mortality", US_national_yearly!$D:$AM, 13, FALSE) / VLOOKUP("buildings|SO2|Infant mortality", US_national_yearly!$D:$AM, 10, FALSE), 1)</f>
        <v>7.2527236812799697E-6</v>
      </c>
      <c r="F3" s="7">
        <f>$B3 * IFERROR(VLOOKUP("buildings|SO2|Infant mortality", US_national_yearly!$D:$AM, 14, FALSE) / VLOOKUP("buildings|SO2|Infant mortality", US_national_yearly!$D:$AM, 10, FALSE), 1)</f>
        <v>7.1889168913354211E-6</v>
      </c>
      <c r="G3" s="7">
        <f>$B3 * IFERROR(VLOOKUP("buildings|SO2|Infant mortality", US_national_yearly!$D:$AM, 15, FALSE) / VLOOKUP("buildings|SO2|Infant mortality", US_national_yearly!$D:$AM, 10, FALSE), 1)</f>
        <v>4.7875338481536826E-6</v>
      </c>
      <c r="H3" s="7">
        <f>$B3 * IFERROR(VLOOKUP("buildings|SO2|Infant mortality", US_national_yearly!$D:$AM, 16, FALSE) / VLOOKUP("buildings|SO2|Infant mortality", US_national_yearly!$D:$AM, 10, FALSE), 1)</f>
        <v>2.3861508049719436E-6</v>
      </c>
      <c r="I3" s="7">
        <f>$B3 * IFERROR(VLOOKUP("buildings|SO2|Infant mortality", US_national_yearly!$D:$AM, 17, FALSE) / VLOOKUP("buildings|SO2|Infant mortality", US_national_yearly!$D:$AM, 10, FALSE), 1)</f>
        <v>2.3711798313190007E-6</v>
      </c>
      <c r="J3" s="7">
        <f>$B3 * IFERROR(VLOOKUP("buildings|SO2|Infant mortality", US_national_yearly!$D:$AM, 18, FALSE) / VLOOKUP("buildings|SO2|Infant mortality", US_national_yearly!$D:$AM, 10, FALSE), 1)</f>
        <v>2.3562088576660574E-6</v>
      </c>
      <c r="K3" s="7">
        <f>$B3 * IFERROR(VLOOKUP("buildings|SO2|Infant mortality", US_national_yearly!$D:$AM, 19, FALSE) / VLOOKUP("buildings|SO2|Infant mortality", US_national_yearly!$D:$AM, 10, FALSE), 1)</f>
        <v>2.3412378840131141E-6</v>
      </c>
      <c r="L3" s="7">
        <f>$B3 * IFERROR(VLOOKUP("buildings|SO2|Infant mortality", US_national_yearly!$D:$AM, 20, FALSE) / VLOOKUP("buildings|SO2|Infant mortality", US_national_yearly!$D:$AM, 10, FALSE), 1)</f>
        <v>2.3262669103601708E-6</v>
      </c>
      <c r="M3" s="7">
        <f>$B3 * IFERROR(VLOOKUP("buildings|SO2|Infant mortality", US_national_yearly!$D:$AM, 21, FALSE) / VLOOKUP("buildings|SO2|Infant mortality", US_national_yearly!$D:$AM, 10, FALSE), 1)</f>
        <v>2.3112959367072275E-6</v>
      </c>
      <c r="N3" s="7">
        <f>$B3 * IFERROR(VLOOKUP("buildings|SO2|Infant mortality", US_national_yearly!$D:$AM, 22, FALSE) / VLOOKUP("buildings|SO2|Infant mortality", US_national_yearly!$D:$AM, 10, FALSE), 1)</f>
        <v>2.3019107266236616E-6</v>
      </c>
      <c r="O3" s="7">
        <f>$B3 * IFERROR(VLOOKUP("buildings|SO2|Infant mortality", US_national_yearly!$D:$AM, 23, FALSE) / VLOOKUP("buildings|SO2|Infant mortality", US_national_yearly!$D:$AM, 10, FALSE), 1)</f>
        <v>2.2925255165400952E-6</v>
      </c>
      <c r="P3" s="7">
        <f>$B3 * IFERROR(VLOOKUP("buildings|SO2|Infant mortality", US_national_yearly!$D:$AM, 24, FALSE) / VLOOKUP("buildings|SO2|Infant mortality", US_national_yearly!$D:$AM, 10, FALSE), 1)</f>
        <v>2.2831403064565293E-6</v>
      </c>
      <c r="Q3" s="7">
        <f>$B3 * IFERROR(VLOOKUP("buildings|SO2|Infant mortality", US_national_yearly!$D:$AM, 25, FALSE) / VLOOKUP("buildings|SO2|Infant mortality", US_national_yearly!$D:$AM, 10, FALSE), 1)</f>
        <v>2.2737550963729629E-6</v>
      </c>
      <c r="R3" s="7">
        <f>$B3 * IFERROR(VLOOKUP("buildings|SO2|Infant mortality", US_national_yearly!$D:$AM, 26, FALSE) / VLOOKUP("buildings|SO2|Infant mortality", US_national_yearly!$D:$AM, 10, FALSE), 1)</f>
        <v>2.2643698862893965E-6</v>
      </c>
      <c r="S3" s="7">
        <f>$B3 * IFERROR(VLOOKUP("buildings|SO2|Infant mortality", US_national_yearly!$D:$AM, 27, FALSE) / VLOOKUP("buildings|SO2|Infant mortality", US_national_yearly!$D:$AM, 10, FALSE), 1)</f>
        <v>2.252585037826955E-6</v>
      </c>
      <c r="T3" s="7">
        <f>$B3 * IFERROR(VLOOKUP("buildings|SO2|Infant mortality", US_national_yearly!$D:$AM, 28, FALSE) / VLOOKUP("buildings|SO2|Infant mortality", US_national_yearly!$D:$AM, 10, FALSE), 1)</f>
        <v>2.2408001893645134E-6</v>
      </c>
      <c r="U3" s="7">
        <f>$B3 * IFERROR(VLOOKUP("buildings|SO2|Infant mortality", US_national_yearly!$D:$AM, 29, FALSE) / VLOOKUP("buildings|SO2|Infant mortality", US_national_yearly!$D:$AM, 10, FALSE), 1)</f>
        <v>2.2290153409020714E-6</v>
      </c>
      <c r="V3" s="7">
        <f>$B3 * IFERROR(VLOOKUP("buildings|SO2|Infant mortality", US_national_yearly!$D:$AM, 30, FALSE) / VLOOKUP("buildings|SO2|Infant mortality", US_national_yearly!$D:$AM, 10, FALSE), 1)</f>
        <v>2.2172304924396298E-6</v>
      </c>
      <c r="W3" s="7">
        <f>$B3 * IFERROR(VLOOKUP("buildings|SO2|Infant mortality", US_national_yearly!$D:$AM, 31, FALSE) / VLOOKUP("buildings|SO2|Infant mortality", US_national_yearly!$D:$AM, 10, FALSE), 1)</f>
        <v>2.2054456439771878E-6</v>
      </c>
      <c r="X3" s="7">
        <f>$B3 * IFERROR(VLOOKUP("buildings|SO2|Infant mortality", US_national_yearly!$D:$AM, 32, FALSE) / VLOOKUP("buildings|SO2|Infant mortality", US_national_yearly!$D:$AM, 10, FALSE), 1)</f>
        <v>2.1925747221283602E-6</v>
      </c>
      <c r="Y3" s="7">
        <f>$B3 * IFERROR(VLOOKUP("buildings|SO2|Infant mortality", US_national_yearly!$D:$AM, 33, FALSE) / VLOOKUP("buildings|SO2|Infant mortality", US_national_yearly!$D:$AM, 10, FALSE), 1)</f>
        <v>2.1797038002795322E-6</v>
      </c>
      <c r="Z3" s="7">
        <f>$B3 * IFERROR(VLOOKUP("buildings|SO2|Infant mortality", US_national_yearly!$D:$AM, 34, FALSE) / VLOOKUP("buildings|SO2|Infant mortality", US_national_yearly!$D:$AM, 10, FALSE), 1)</f>
        <v>2.1668328784307046E-6</v>
      </c>
      <c r="AA3" s="7">
        <f>$B3 * IFERROR(VLOOKUP("buildings|SO2|Infant mortality", US_national_yearly!$D:$AM, 35, FALSE) / VLOOKUP("buildings|SO2|Infant mortality", US_national_yearly!$D:$AM, 10, FALSE), 1)</f>
        <v>2.1539619565818766E-6</v>
      </c>
      <c r="AB3" s="7">
        <f>$B3 * IFERROR(VLOOKUP("buildings|SO2|Infant mortality", US_national_yearly!$D:$AM, 36, FALSE) / VLOOKUP("buildings|SO2|Infant mortality", US_national_yearly!$D:$AM, 10, FALSE), 1)</f>
        <v>2.141091034733049E-6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6.4978292681266911E-3</v>
      </c>
      <c r="C6" s="7">
        <f>$B6 * IFERROR(VLOOKUP("buildings|SO2|Asthma symptoms cough", US_national_yearly!$D:$AM, 11, FALSE) / VLOOKUP("buildings|SO2|Asthma symptoms cough", US_national_yearly!$D:$AM, 10, FALSE), 1)</f>
        <v>6.4978292681266911E-3</v>
      </c>
      <c r="D6" s="7">
        <f>$B6 * IFERROR(VLOOKUP("buildings|SO2|Asthma symptoms cough", US_national_yearly!$D:$AM, 12, FALSE) / VLOOKUP("buildings|SO2|Asthma symptoms cough", US_national_yearly!$D:$AM, 10, FALSE), 1)</f>
        <v>6.4978292681266911E-3</v>
      </c>
      <c r="E6" s="7">
        <f>$B6 * IFERROR(VLOOKUP("buildings|SO2|Asthma symptoms cough", US_national_yearly!$D:$AM, 13, FALSE) / VLOOKUP("buildings|SO2|Asthma symptoms cough", US_national_yearly!$D:$AM, 10, FALSE), 1)</f>
        <v>6.4978292681266911E-3</v>
      </c>
      <c r="F6" s="7">
        <f>$B6 * IFERROR(VLOOKUP("buildings|SO2|Asthma symptoms cough", US_national_yearly!$D:$AM, 14, FALSE) / VLOOKUP("buildings|SO2|Asthma symptoms cough", US_national_yearly!$D:$AM, 10, FALSE), 1)</f>
        <v>6.4978292681266911E-3</v>
      </c>
      <c r="G6" s="7">
        <f>$B6 * IFERROR(VLOOKUP("buildings|SO2|Asthma symptoms cough", US_national_yearly!$D:$AM, 15, FALSE) / VLOOKUP("buildings|SO2|Asthma symptoms cough", US_national_yearly!$D:$AM, 10, FALSE), 1)</f>
        <v>6.4978292681266911E-3</v>
      </c>
      <c r="H6" s="7">
        <f>$B6 * IFERROR(VLOOKUP("buildings|SO2|Asthma symptoms cough", US_national_yearly!$D:$AM, 16, FALSE) / VLOOKUP("buildings|SO2|Asthma symptoms cough", US_national_yearly!$D:$AM, 10, FALSE), 1)</f>
        <v>6.4978292681266911E-3</v>
      </c>
      <c r="I6" s="7">
        <f>$B6 * IFERROR(VLOOKUP("buildings|SO2|Asthma symptoms cough", US_national_yearly!$D:$AM, 17, FALSE) / VLOOKUP("buildings|SO2|Asthma symptoms cough", US_national_yearly!$D:$AM, 10, FALSE), 1)</f>
        <v>6.4978292681266911E-3</v>
      </c>
      <c r="J6" s="7">
        <f>$B6 * IFERROR(VLOOKUP("buildings|SO2|Asthma symptoms cough", US_national_yearly!$D:$AM, 18, FALSE) / VLOOKUP("buildings|SO2|Asthma symptoms cough", US_national_yearly!$D:$AM, 10, FALSE), 1)</f>
        <v>6.4978292681266911E-3</v>
      </c>
      <c r="K6" s="7">
        <f>$B6 * IFERROR(VLOOKUP("buildings|SO2|Asthma symptoms cough", US_national_yearly!$D:$AM, 19, FALSE) / VLOOKUP("buildings|SO2|Asthma symptoms cough", US_national_yearly!$D:$AM, 10, FALSE), 1)</f>
        <v>6.4978292681266911E-3</v>
      </c>
      <c r="L6" s="7">
        <f>$B6 * IFERROR(VLOOKUP("buildings|SO2|Asthma symptoms cough", US_national_yearly!$D:$AM, 20, FALSE) / VLOOKUP("buildings|SO2|Asthma symptoms cough", US_national_yearly!$D:$AM, 10, FALSE), 1)</f>
        <v>6.4978292681266911E-3</v>
      </c>
      <c r="M6" s="7">
        <f>$B6 * IFERROR(VLOOKUP("buildings|SO2|Asthma symptoms cough", US_national_yearly!$D:$AM, 21, FALSE) / VLOOKUP("buildings|SO2|Asthma symptoms cough", US_national_yearly!$D:$AM, 10, FALSE), 1)</f>
        <v>6.4978292681266911E-3</v>
      </c>
      <c r="N6" s="7">
        <f>$B6 * IFERROR(VLOOKUP("buildings|SO2|Asthma symptoms cough", US_national_yearly!$D:$AM, 22, FALSE) / VLOOKUP("buildings|SO2|Asthma symptoms cough", US_national_yearly!$D:$AM, 10, FALSE), 1)</f>
        <v>6.4978292681266911E-3</v>
      </c>
      <c r="O6" s="7">
        <f>$B6 * IFERROR(VLOOKUP("buildings|SO2|Asthma symptoms cough", US_national_yearly!$D:$AM, 23, FALSE) / VLOOKUP("buildings|SO2|Asthma symptoms cough", US_national_yearly!$D:$AM, 10, FALSE), 1)</f>
        <v>6.4978292681266911E-3</v>
      </c>
      <c r="P6" s="7">
        <f>$B6 * IFERROR(VLOOKUP("buildings|SO2|Asthma symptoms cough", US_national_yearly!$D:$AM, 24, FALSE) / VLOOKUP("buildings|SO2|Asthma symptoms cough", US_national_yearly!$D:$AM, 10, FALSE), 1)</f>
        <v>6.4978292681266911E-3</v>
      </c>
      <c r="Q6" s="7">
        <f>$B6 * IFERROR(VLOOKUP("buildings|SO2|Asthma symptoms cough", US_national_yearly!$D:$AM, 25, FALSE) / VLOOKUP("buildings|SO2|Asthma symptoms cough", US_national_yearly!$D:$AM, 10, FALSE), 1)</f>
        <v>6.4978292681266911E-3</v>
      </c>
      <c r="R6" s="7">
        <f>$B6 * IFERROR(VLOOKUP("buildings|SO2|Asthma symptoms cough", US_national_yearly!$D:$AM, 26, FALSE) / VLOOKUP("buildings|SO2|Asthma symptoms cough", US_national_yearly!$D:$AM, 10, FALSE), 1)</f>
        <v>6.4978292681266911E-3</v>
      </c>
      <c r="S6" s="7">
        <f>$B6 * IFERROR(VLOOKUP("buildings|SO2|Asthma symptoms cough", US_national_yearly!$D:$AM, 27, FALSE) / VLOOKUP("buildings|SO2|Asthma symptoms cough", US_national_yearly!$D:$AM, 10, FALSE), 1)</f>
        <v>6.4978292681266911E-3</v>
      </c>
      <c r="T6" s="7">
        <f>$B6 * IFERROR(VLOOKUP("buildings|SO2|Asthma symptoms cough", US_national_yearly!$D:$AM, 28, FALSE) / VLOOKUP("buildings|SO2|Asthma symptoms cough", US_national_yearly!$D:$AM, 10, FALSE), 1)</f>
        <v>6.4978292681266911E-3</v>
      </c>
      <c r="U6" s="7">
        <f>$B6 * IFERROR(VLOOKUP("buildings|SO2|Asthma symptoms cough", US_national_yearly!$D:$AM, 29, FALSE) / VLOOKUP("buildings|SO2|Asthma symptoms cough", US_national_yearly!$D:$AM, 10, FALSE), 1)</f>
        <v>6.4978292681266911E-3</v>
      </c>
      <c r="V6" s="7">
        <f>$B6 * IFERROR(VLOOKUP("buildings|SO2|Asthma symptoms cough", US_national_yearly!$D:$AM, 30, FALSE) / VLOOKUP("buildings|SO2|Asthma symptoms cough", US_national_yearly!$D:$AM, 10, FALSE), 1)</f>
        <v>6.4978292681266911E-3</v>
      </c>
      <c r="W6" s="7">
        <f>$B6 * IFERROR(VLOOKUP("buildings|SO2|Asthma symptoms cough", US_national_yearly!$D:$AM, 31, FALSE) / VLOOKUP("buildings|SO2|Asthma symptoms cough", US_national_yearly!$D:$AM, 10, FALSE), 1)</f>
        <v>6.4978292681266911E-3</v>
      </c>
      <c r="X6" s="7">
        <f>$B6 * IFERROR(VLOOKUP("buildings|SO2|Asthma symptoms cough", US_national_yearly!$D:$AM, 32, FALSE) / VLOOKUP("buildings|SO2|Asthma symptoms cough", US_national_yearly!$D:$AM, 10, FALSE), 1)</f>
        <v>6.4978292681266911E-3</v>
      </c>
      <c r="Y6" s="7">
        <f>$B6 * IFERROR(VLOOKUP("buildings|SO2|Asthma symptoms cough", US_national_yearly!$D:$AM, 33, FALSE) / VLOOKUP("buildings|SO2|Asthma symptoms cough", US_national_yearly!$D:$AM, 10, FALSE), 1)</f>
        <v>6.4978292681266911E-3</v>
      </c>
      <c r="Z6" s="7">
        <f>$B6 * IFERROR(VLOOKUP("buildings|SO2|Asthma symptoms cough", US_national_yearly!$D:$AM, 34, FALSE) / VLOOKUP("buildings|SO2|Asthma symptoms cough", US_national_yearly!$D:$AM, 10, FALSE), 1)</f>
        <v>6.4978292681266911E-3</v>
      </c>
      <c r="AA6" s="7">
        <f>$B6 * IFERROR(VLOOKUP("buildings|SO2|Asthma symptoms cough", US_national_yearly!$D:$AM, 35, FALSE) / VLOOKUP("buildings|SO2|Asthma symptoms cough", US_national_yearly!$D:$AM, 10, FALSE), 1)</f>
        <v>6.4978292681266911E-3</v>
      </c>
      <c r="AB6" s="7">
        <f>$B6 * IFERROR(VLOOKUP("buildings|SO2|Asthma symptoms cough", US_national_yearly!$D:$AM, 36, FALSE) / VLOOKUP("buildings|SO2|Asthma symptoms cough", US_national_yearly!$D:$AM, 10, FALSE), 1)</f>
        <v>6.4978292681266911E-3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8.7502815012248086E-3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8.7502815012248086E-3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8.7502815012248086E-3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8.7502815012248086E-3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8.7502815012248086E-3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8.7502815012248086E-3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8.7502815012248086E-3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8.7502815012248086E-3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8.7502815012248086E-3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8.7502815012248086E-3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8.7502815012248086E-3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8.7502815012248086E-3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8.7502815012248086E-3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8.7502815012248086E-3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8.7502815012248086E-3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8.7502815012248086E-3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8.7502815012248086E-3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8.7502815012248086E-3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8.7502815012248086E-3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8.7502815012248086E-3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8.7502815012248086E-3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8.7502815012248086E-3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8.7502815012248086E-3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8.7502815012248086E-3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8.7502815012248086E-3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8.7502815012248086E-3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8.7502815012248086E-3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1.3368906638360354E-2</v>
      </c>
      <c r="C8" s="7">
        <f>$B8 * IFERROR(VLOOKUP("buildings|SO2|Asthma symptoms wheeze", US_national_yearly!$D:$AM, 11, FALSE) / VLOOKUP("buildings|SO2|Asthma symptoms wheeze", US_national_yearly!$D:$AM, 10, FALSE), 1)</f>
        <v>1.3368906638360354E-2</v>
      </c>
      <c r="D8" s="7">
        <f>$B8 * IFERROR(VLOOKUP("buildings|SO2|Asthma symptoms wheeze", US_national_yearly!$D:$AM, 12, FALSE) / VLOOKUP("buildings|SO2|Asthma symptoms wheeze", US_national_yearly!$D:$AM, 10, FALSE), 1)</f>
        <v>1.3368906638360354E-2</v>
      </c>
      <c r="E8" s="7">
        <f>$B8 * IFERROR(VLOOKUP("buildings|SO2|Asthma symptoms wheeze", US_national_yearly!$D:$AM, 13, FALSE) / VLOOKUP("buildings|SO2|Asthma symptoms wheeze", US_national_yearly!$D:$AM, 10, FALSE), 1)</f>
        <v>1.3368906638360354E-2</v>
      </c>
      <c r="F8" s="7">
        <f>$B8 * IFERROR(VLOOKUP("buildings|SO2|Asthma symptoms wheeze", US_national_yearly!$D:$AM, 14, FALSE) / VLOOKUP("buildings|SO2|Asthma symptoms wheeze", US_national_yearly!$D:$AM, 10, FALSE), 1)</f>
        <v>1.3368906638360354E-2</v>
      </c>
      <c r="G8" s="7">
        <f>$B8 * IFERROR(VLOOKUP("buildings|SO2|Asthma symptoms wheeze", US_national_yearly!$D:$AM, 15, FALSE) / VLOOKUP("buildings|SO2|Asthma symptoms wheeze", US_national_yearly!$D:$AM, 10, FALSE), 1)</f>
        <v>1.3368906638360354E-2</v>
      </c>
      <c r="H8" s="7">
        <f>$B8 * IFERROR(VLOOKUP("buildings|SO2|Asthma symptoms wheeze", US_national_yearly!$D:$AM, 16, FALSE) / VLOOKUP("buildings|SO2|Asthma symptoms wheeze", US_national_yearly!$D:$AM, 10, FALSE), 1)</f>
        <v>1.3368906638360354E-2</v>
      </c>
      <c r="I8" s="7">
        <f>$B8 * IFERROR(VLOOKUP("buildings|SO2|Asthma symptoms wheeze", US_national_yearly!$D:$AM, 17, FALSE) / VLOOKUP("buildings|SO2|Asthma symptoms wheeze", US_national_yearly!$D:$AM, 10, FALSE), 1)</f>
        <v>1.3368906638360354E-2</v>
      </c>
      <c r="J8" s="7">
        <f>$B8 * IFERROR(VLOOKUP("buildings|SO2|Asthma symptoms wheeze", US_national_yearly!$D:$AM, 18, FALSE) / VLOOKUP("buildings|SO2|Asthma symptoms wheeze", US_national_yearly!$D:$AM, 10, FALSE), 1)</f>
        <v>1.3368906638360354E-2</v>
      </c>
      <c r="K8" s="7">
        <f>$B8 * IFERROR(VLOOKUP("buildings|SO2|Asthma symptoms wheeze", US_national_yearly!$D:$AM, 19, FALSE) / VLOOKUP("buildings|SO2|Asthma symptoms wheeze", US_national_yearly!$D:$AM, 10, FALSE), 1)</f>
        <v>1.3368906638360354E-2</v>
      </c>
      <c r="L8" s="7">
        <f>$B8 * IFERROR(VLOOKUP("buildings|SO2|Asthma symptoms wheeze", US_national_yearly!$D:$AM, 20, FALSE) / VLOOKUP("buildings|SO2|Asthma symptoms wheeze", US_national_yearly!$D:$AM, 10, FALSE), 1)</f>
        <v>1.3368906638360354E-2</v>
      </c>
      <c r="M8" s="7">
        <f>$B8 * IFERROR(VLOOKUP("buildings|SO2|Asthma symptoms wheeze", US_national_yearly!$D:$AM, 21, FALSE) / VLOOKUP("buildings|SO2|Asthma symptoms wheeze", US_national_yearly!$D:$AM, 10, FALSE), 1)</f>
        <v>1.3368906638360354E-2</v>
      </c>
      <c r="N8" s="7">
        <f>$B8 * IFERROR(VLOOKUP("buildings|SO2|Asthma symptoms wheeze", US_national_yearly!$D:$AM, 22, FALSE) / VLOOKUP("buildings|SO2|Asthma symptoms wheeze", US_national_yearly!$D:$AM, 10, FALSE), 1)</f>
        <v>1.3368906638360354E-2</v>
      </c>
      <c r="O8" s="7">
        <f>$B8 * IFERROR(VLOOKUP("buildings|SO2|Asthma symptoms wheeze", US_national_yearly!$D:$AM, 23, FALSE) / VLOOKUP("buildings|SO2|Asthma symptoms wheeze", US_national_yearly!$D:$AM, 10, FALSE), 1)</f>
        <v>1.3368906638360354E-2</v>
      </c>
      <c r="P8" s="7">
        <f>$B8 * IFERROR(VLOOKUP("buildings|SO2|Asthma symptoms wheeze", US_national_yearly!$D:$AM, 24, FALSE) / VLOOKUP("buildings|SO2|Asthma symptoms wheeze", US_national_yearly!$D:$AM, 10, FALSE), 1)</f>
        <v>1.3368906638360354E-2</v>
      </c>
      <c r="Q8" s="7">
        <f>$B8 * IFERROR(VLOOKUP("buildings|SO2|Asthma symptoms wheeze", US_national_yearly!$D:$AM, 25, FALSE) / VLOOKUP("buildings|SO2|Asthma symptoms wheeze", US_national_yearly!$D:$AM, 10, FALSE), 1)</f>
        <v>1.3368906638360354E-2</v>
      </c>
      <c r="R8" s="7">
        <f>$B8 * IFERROR(VLOOKUP("buildings|SO2|Asthma symptoms wheeze", US_national_yearly!$D:$AM, 26, FALSE) / VLOOKUP("buildings|SO2|Asthma symptoms wheeze", US_national_yearly!$D:$AM, 10, FALSE), 1)</f>
        <v>1.3368906638360354E-2</v>
      </c>
      <c r="S8" s="7">
        <f>$B8 * IFERROR(VLOOKUP("buildings|SO2|Asthma symptoms wheeze", US_national_yearly!$D:$AM, 27, FALSE) / VLOOKUP("buildings|SO2|Asthma symptoms wheeze", US_national_yearly!$D:$AM, 10, FALSE), 1)</f>
        <v>1.3368906638360354E-2</v>
      </c>
      <c r="T8" s="7">
        <f>$B8 * IFERROR(VLOOKUP("buildings|SO2|Asthma symptoms wheeze", US_national_yearly!$D:$AM, 28, FALSE) / VLOOKUP("buildings|SO2|Asthma symptoms wheeze", US_national_yearly!$D:$AM, 10, FALSE), 1)</f>
        <v>1.3368906638360354E-2</v>
      </c>
      <c r="U8" s="7">
        <f>$B8 * IFERROR(VLOOKUP("buildings|SO2|Asthma symptoms wheeze", US_national_yearly!$D:$AM, 29, FALSE) / VLOOKUP("buildings|SO2|Asthma symptoms wheeze", US_national_yearly!$D:$AM, 10, FALSE), 1)</f>
        <v>1.3368906638360354E-2</v>
      </c>
      <c r="V8" s="7">
        <f>$B8 * IFERROR(VLOOKUP("buildings|SO2|Asthma symptoms wheeze", US_national_yearly!$D:$AM, 30, FALSE) / VLOOKUP("buildings|SO2|Asthma symptoms wheeze", US_national_yearly!$D:$AM, 10, FALSE), 1)</f>
        <v>1.3368906638360354E-2</v>
      </c>
      <c r="W8" s="7">
        <f>$B8 * IFERROR(VLOOKUP("buildings|SO2|Asthma symptoms wheeze", US_national_yearly!$D:$AM, 31, FALSE) / VLOOKUP("buildings|SO2|Asthma symptoms wheeze", US_national_yearly!$D:$AM, 10, FALSE), 1)</f>
        <v>1.3368906638360354E-2</v>
      </c>
      <c r="X8" s="7">
        <f>$B8 * IFERROR(VLOOKUP("buildings|SO2|Asthma symptoms wheeze", US_national_yearly!$D:$AM, 32, FALSE) / VLOOKUP("buildings|SO2|Asthma symptoms wheeze", US_national_yearly!$D:$AM, 10, FALSE), 1)</f>
        <v>1.3368906638360354E-2</v>
      </c>
      <c r="Y8" s="7">
        <f>$B8 * IFERROR(VLOOKUP("buildings|SO2|Asthma symptoms wheeze", US_national_yearly!$D:$AM, 33, FALSE) / VLOOKUP("buildings|SO2|Asthma symptoms wheeze", US_national_yearly!$D:$AM, 10, FALSE), 1)</f>
        <v>1.3368906638360354E-2</v>
      </c>
      <c r="Z8" s="7">
        <f>$B8 * IFERROR(VLOOKUP("buildings|SO2|Asthma symptoms wheeze", US_national_yearly!$D:$AM, 34, FALSE) / VLOOKUP("buildings|SO2|Asthma symptoms wheeze", US_national_yearly!$D:$AM, 10, FALSE), 1)</f>
        <v>1.3368906638360354E-2</v>
      </c>
      <c r="AA8" s="7">
        <f>$B8 * IFERROR(VLOOKUP("buildings|SO2|Asthma symptoms wheeze", US_national_yearly!$D:$AM, 35, FALSE) / VLOOKUP("buildings|SO2|Asthma symptoms wheeze", US_national_yearly!$D:$AM, 10, FALSE), 1)</f>
        <v>1.3368906638360354E-2</v>
      </c>
      <c r="AB8" s="7">
        <f>$B8 * IFERROR(VLOOKUP("buildings|SO2|Asthma symptoms wheeze", US_national_yearly!$D:$AM, 36, FALSE) / VLOOKUP("buildings|SO2|Asthma symptoms wheeze", US_national_yearly!$D:$AM, 10, FALSE), 1)</f>
        <v>1.3368906638360354E-2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1.908442474147184E-4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1.9197144663717243E-4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1.9309864585962644E-4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1.9422584508208048E-4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1.9535304430453446E-4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1.9658154944568836E-4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1.9781005458684227E-4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1.9901903917467946E-4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2.0022802376251672E-4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2.0143700835035391E-4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2.0264599293819111E-4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2.0385497752602836E-4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2.047377364113654E-4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2.0562049529670244E-4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2.0650325418203948E-4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2.0738601306737652E-4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2.0826877195271354E-4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2.0911049291195955E-4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2.0995221387120559E-4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2.107939348304516E-4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2.1163565578969759E-4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2.1247737674894363E-4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2.132772312767922E-4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2.1407708580464083E-4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2.1487694033248941E-4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2.1567679486033796E-4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2.1647664938818659E-4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1.1818606724984583E-3</v>
      </c>
      <c r="C13" s="7">
        <f>$B13 * IFERROR(VLOOKUP("buildings|SO2|Non-fatal heart attacks", US_national_yearly!$D:$AM, 11, FALSE) / VLOOKUP("buildings|SO2|Non-fatal heart attacks", US_national_yearly!$D:$AM, 10, FALSE), 1)</f>
        <v>1.2165670262813441E-3</v>
      </c>
      <c r="D13" s="7">
        <f>$B13 * IFERROR(VLOOKUP("buildings|SO2|Non-fatal heart attacks", US_national_yearly!$D:$AM, 12, FALSE) / VLOOKUP("buildings|SO2|Non-fatal heart attacks", US_national_yearly!$D:$AM, 10, FALSE), 1)</f>
        <v>1.2512733800642294E-3</v>
      </c>
      <c r="E13" s="7">
        <f>$B13 * IFERROR(VLOOKUP("buildings|SO2|Non-fatal heart attacks", US_national_yearly!$D:$AM, 13, FALSE) / VLOOKUP("buildings|SO2|Non-fatal heart attacks", US_national_yearly!$D:$AM, 10, FALSE), 1)</f>
        <v>1.2859797338471148E-3</v>
      </c>
      <c r="F13" s="7">
        <f>$B13 * IFERROR(VLOOKUP("buildings|SO2|Non-fatal heart attacks", US_national_yearly!$D:$AM, 14, FALSE) / VLOOKUP("buildings|SO2|Non-fatal heart attacks", US_national_yearly!$D:$AM, 10, FALSE), 1)</f>
        <v>1.3206860876300006E-3</v>
      </c>
      <c r="G13" s="7">
        <f>$B13 * IFERROR(VLOOKUP("buildings|SO2|Non-fatal heart attacks", US_national_yearly!$D:$AM, 15, FALSE) / VLOOKUP("buildings|SO2|Non-fatal heart attacks", US_national_yearly!$D:$AM, 10, FALSE), 1)</f>
        <v>1.3534197766981383E-3</v>
      </c>
      <c r="H13" s="7">
        <f>$B13 * IFERROR(VLOOKUP("buildings|SO2|Non-fatal heart attacks", US_national_yearly!$D:$AM, 16, FALSE) / VLOOKUP("buildings|SO2|Non-fatal heart attacks", US_national_yearly!$D:$AM, 10, FALSE), 1)</f>
        <v>1.3861534657662762E-3</v>
      </c>
      <c r="I13" s="7">
        <f>$B13 * IFERROR(VLOOKUP("buildings|SO2|Non-fatal heart attacks", US_national_yearly!$D:$AM, 17, FALSE) / VLOOKUP("buildings|SO2|Non-fatal heart attacks", US_national_yearly!$D:$AM, 10, FALSE), 1)</f>
        <v>1.4125019157538211E-3</v>
      </c>
      <c r="J13" s="7">
        <f>$B13 * IFERROR(VLOOKUP("buildings|SO2|Non-fatal heart attacks", US_national_yearly!$D:$AM, 18, FALSE) / VLOOKUP("buildings|SO2|Non-fatal heart attacks", US_national_yearly!$D:$AM, 10, FALSE), 1)</f>
        <v>1.4388503657413664E-3</v>
      </c>
      <c r="K13" s="7">
        <f>$B13 * IFERROR(VLOOKUP("buildings|SO2|Non-fatal heart attacks", US_national_yearly!$D:$AM, 19, FALSE) / VLOOKUP("buildings|SO2|Non-fatal heart attacks", US_national_yearly!$D:$AM, 10, FALSE), 1)</f>
        <v>1.4651988157289117E-3</v>
      </c>
      <c r="L13" s="7">
        <f>$B13 * IFERROR(VLOOKUP("buildings|SO2|Non-fatal heart attacks", US_national_yearly!$D:$AM, 20, FALSE) / VLOOKUP("buildings|SO2|Non-fatal heart attacks", US_national_yearly!$D:$AM, 10, FALSE), 1)</f>
        <v>1.4915472657164573E-3</v>
      </c>
      <c r="M13" s="7">
        <f>$B13 * IFERROR(VLOOKUP("buildings|SO2|Non-fatal heart attacks", US_national_yearly!$D:$AM, 21, FALSE) / VLOOKUP("buildings|SO2|Non-fatal heart attacks", US_national_yearly!$D:$AM, 10, FALSE), 1)</f>
        <v>1.5178957157040026E-3</v>
      </c>
      <c r="N13" s="7">
        <f>$B13 * IFERROR(VLOOKUP("buildings|SO2|Non-fatal heart attacks", US_national_yearly!$D:$AM, 22, FALSE) / VLOOKUP("buildings|SO2|Non-fatal heart attacks", US_national_yearly!$D:$AM, 10, FALSE), 1)</f>
        <v>1.5349970845756375E-3</v>
      </c>
      <c r="O13" s="7">
        <f>$B13 * IFERROR(VLOOKUP("buildings|SO2|Non-fatal heart attacks", US_national_yearly!$D:$AM, 23, FALSE) / VLOOKUP("buildings|SO2|Non-fatal heart attacks", US_national_yearly!$D:$AM, 10, FALSE), 1)</f>
        <v>1.5520984534472728E-3</v>
      </c>
      <c r="P13" s="7">
        <f>$B13 * IFERROR(VLOOKUP("buildings|SO2|Non-fatal heart attacks", US_national_yearly!$D:$AM, 24, FALSE) / VLOOKUP("buildings|SO2|Non-fatal heart attacks", US_national_yearly!$D:$AM, 10, FALSE), 1)</f>
        <v>1.5691998223189077E-3</v>
      </c>
      <c r="Q13" s="7">
        <f>$B13 * IFERROR(VLOOKUP("buildings|SO2|Non-fatal heart attacks", US_national_yearly!$D:$AM, 25, FALSE) / VLOOKUP("buildings|SO2|Non-fatal heart attacks", US_national_yearly!$D:$AM, 10, FALSE), 1)</f>
        <v>1.5863011911905428E-3</v>
      </c>
      <c r="R13" s="7">
        <f>$B13 * IFERROR(VLOOKUP("buildings|SO2|Non-fatal heart attacks", US_national_yearly!$D:$AM, 26, FALSE) / VLOOKUP("buildings|SO2|Non-fatal heart attacks", US_national_yearly!$D:$AM, 10, FALSE), 1)</f>
        <v>1.6034025600621779E-3</v>
      </c>
      <c r="S13" s="7">
        <f>$B13 * IFERROR(VLOOKUP("buildings|SO2|Non-fatal heart attacks", US_national_yearly!$D:$AM, 27, FALSE) / VLOOKUP("buildings|SO2|Non-fatal heart attacks", US_national_yearly!$D:$AM, 10, FALSE), 1)</f>
        <v>1.6123328668855611E-3</v>
      </c>
      <c r="T13" s="7">
        <f>$B13 * IFERROR(VLOOKUP("buildings|SO2|Non-fatal heart attacks", US_national_yearly!$D:$AM, 28, FALSE) / VLOOKUP("buildings|SO2|Non-fatal heart attacks", US_national_yearly!$D:$AM, 10, FALSE), 1)</f>
        <v>1.6212631737089443E-3</v>
      </c>
      <c r="U13" s="7">
        <f>$B13 * IFERROR(VLOOKUP("buildings|SO2|Non-fatal heart attacks", US_national_yearly!$D:$AM, 29, FALSE) / VLOOKUP("buildings|SO2|Non-fatal heart attacks", US_national_yearly!$D:$AM, 10, FALSE), 1)</f>
        <v>1.6301934805323269E-3</v>
      </c>
      <c r="V13" s="7">
        <f>$B13 * IFERROR(VLOOKUP("buildings|SO2|Non-fatal heart attacks", US_national_yearly!$D:$AM, 30, FALSE) / VLOOKUP("buildings|SO2|Non-fatal heart attacks", US_national_yearly!$D:$AM, 10, FALSE), 1)</f>
        <v>1.6391237873557101E-3</v>
      </c>
      <c r="W13" s="7">
        <f>$B13 * IFERROR(VLOOKUP("buildings|SO2|Non-fatal heart attacks", US_national_yearly!$D:$AM, 31, FALSE) / VLOOKUP("buildings|SO2|Non-fatal heart attacks", US_national_yearly!$D:$AM, 10, FALSE), 1)</f>
        <v>1.6480540941790928E-3</v>
      </c>
      <c r="X13" s="7">
        <f>$B13 * IFERROR(VLOOKUP("buildings|SO2|Non-fatal heart attacks", US_national_yearly!$D:$AM, 32, FALSE) / VLOOKUP("buildings|SO2|Non-fatal heart attacks", US_national_yearly!$D:$AM, 10, FALSE), 1)</f>
        <v>1.6547989176848238E-3</v>
      </c>
      <c r="Y13" s="7">
        <f>$B13 * IFERROR(VLOOKUP("buildings|SO2|Non-fatal heart attacks", US_national_yearly!$D:$AM, 33, FALSE) / VLOOKUP("buildings|SO2|Non-fatal heart attacks", US_national_yearly!$D:$AM, 10, FALSE), 1)</f>
        <v>1.6615437411905546E-3</v>
      </c>
      <c r="Z13" s="7">
        <f>$B13 * IFERROR(VLOOKUP("buildings|SO2|Non-fatal heart attacks", US_national_yearly!$D:$AM, 34, FALSE) / VLOOKUP("buildings|SO2|Non-fatal heart attacks", US_national_yearly!$D:$AM, 10, FALSE), 1)</f>
        <v>1.6682885646962849E-3</v>
      </c>
      <c r="AA13" s="7">
        <f>$B13 * IFERROR(VLOOKUP("buildings|SO2|Non-fatal heart attacks", US_national_yearly!$D:$AM, 35, FALSE) / VLOOKUP("buildings|SO2|Non-fatal heart attacks", US_national_yearly!$D:$AM, 10, FALSE), 1)</f>
        <v>1.6750333882020159E-3</v>
      </c>
      <c r="AB13" s="7">
        <f>$B13 * IFERROR(VLOOKUP("buildings|SO2|Non-fatal heart attacks", US_national_yearly!$D:$AM, 36, FALSE) / VLOOKUP("buildings|SO2|Non-fatal heart attacks", US_national_yearly!$D:$AM, 10, FALSE), 1)</f>
        <v>1.6817782117077465E-3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0.84471667399447981</v>
      </c>
      <c r="C14" s="7">
        <f>$B14 * IFERROR(VLOOKUP("buildings|SO2|Minor restricted activity days", US_national_yearly!$D:$AM, 11, FALSE) / VLOOKUP("buildings|SO2|Minor restricted activity days", US_national_yearly!$D:$AM, 10, FALSE), 1)</f>
        <v>0.84685502975647287</v>
      </c>
      <c r="D14" s="7">
        <f>$B14 * IFERROR(VLOOKUP("buildings|SO2|Minor restricted activity days", US_national_yearly!$D:$AM, 12, FALSE) / VLOOKUP("buildings|SO2|Minor restricted activity days", US_national_yearly!$D:$AM, 10, FALSE), 1)</f>
        <v>0.84899338551846615</v>
      </c>
      <c r="E14" s="7">
        <f>$B14 * IFERROR(VLOOKUP("buildings|SO2|Minor restricted activity days", US_national_yearly!$D:$AM, 13, FALSE) / VLOOKUP("buildings|SO2|Minor restricted activity days", US_national_yearly!$D:$AM, 10, FALSE), 1)</f>
        <v>0.85113174128045943</v>
      </c>
      <c r="F14" s="7">
        <f>$B14 * IFERROR(VLOOKUP("buildings|SO2|Minor restricted activity days", US_national_yearly!$D:$AM, 14, FALSE) / VLOOKUP("buildings|SO2|Minor restricted activity days", US_national_yearly!$D:$AM, 10, FALSE), 1)</f>
        <v>0.85327009704245249</v>
      </c>
      <c r="G14" s="7">
        <f>$B14 * IFERROR(VLOOKUP("buildings|SO2|Minor restricted activity days", US_national_yearly!$D:$AM, 15, FALSE) / VLOOKUP("buildings|SO2|Minor restricted activity days", US_national_yearly!$D:$AM, 10, FALSE), 1)</f>
        <v>0.85641432728015643</v>
      </c>
      <c r="H14" s="7">
        <f>$B14 * IFERROR(VLOOKUP("buildings|SO2|Minor restricted activity days", US_national_yearly!$D:$AM, 16, FALSE) / VLOOKUP("buildings|SO2|Minor restricted activity days", US_national_yearly!$D:$AM, 10, FALSE), 1)</f>
        <v>0.85955855751786037</v>
      </c>
      <c r="I14" s="7">
        <f>$B14 * IFERROR(VLOOKUP("buildings|SO2|Minor restricted activity days", US_national_yearly!$D:$AM, 17, FALSE) / VLOOKUP("buildings|SO2|Minor restricted activity days", US_national_yearly!$D:$AM, 10, FALSE), 1)</f>
        <v>0.86491349803407946</v>
      </c>
      <c r="J14" s="7">
        <f>$B14 * IFERROR(VLOOKUP("buildings|SO2|Minor restricted activity days", US_national_yearly!$D:$AM, 18, FALSE) / VLOOKUP("buildings|SO2|Minor restricted activity days", US_national_yearly!$D:$AM, 10, FALSE), 1)</f>
        <v>0.8702684385502989</v>
      </c>
      <c r="K14" s="7">
        <f>$B14 * IFERROR(VLOOKUP("buildings|SO2|Minor restricted activity days", US_national_yearly!$D:$AM, 19, FALSE) / VLOOKUP("buildings|SO2|Minor restricted activity days", US_national_yearly!$D:$AM, 10, FALSE), 1)</f>
        <v>0.87562337906651799</v>
      </c>
      <c r="L14" s="7">
        <f>$B14 * IFERROR(VLOOKUP("buildings|SO2|Minor restricted activity days", US_national_yearly!$D:$AM, 20, FALSE) / VLOOKUP("buildings|SO2|Minor restricted activity days", US_national_yearly!$D:$AM, 10, FALSE), 1)</f>
        <v>0.8809783195827372</v>
      </c>
      <c r="M14" s="7">
        <f>$B14 * IFERROR(VLOOKUP("buildings|SO2|Minor restricted activity days", US_national_yearly!$D:$AM, 21, FALSE) / VLOOKUP("buildings|SO2|Minor restricted activity days", US_national_yearly!$D:$AM, 10, FALSE), 1)</f>
        <v>0.88633326009895641</v>
      </c>
      <c r="N14" s="7">
        <f>$B14 * IFERROR(VLOOKUP("buildings|SO2|Minor restricted activity days", US_national_yearly!$D:$AM, 22, FALSE) / VLOOKUP("buildings|SO2|Minor restricted activity days", US_national_yearly!$D:$AM, 10, FALSE), 1)</f>
        <v>0.89365585985711049</v>
      </c>
      <c r="O14" s="7">
        <f>$B14 * IFERROR(VLOOKUP("buildings|SO2|Minor restricted activity days", US_national_yearly!$D:$AM, 23, FALSE) / VLOOKUP("buildings|SO2|Minor restricted activity days", US_national_yearly!$D:$AM, 10, FALSE), 1)</f>
        <v>0.90097845961526468</v>
      </c>
      <c r="P14" s="7">
        <f>$B14 * IFERROR(VLOOKUP("buildings|SO2|Minor restricted activity days", US_national_yearly!$D:$AM, 24, FALSE) / VLOOKUP("buildings|SO2|Minor restricted activity days", US_national_yearly!$D:$AM, 10, FALSE), 1)</f>
        <v>0.90830105937341865</v>
      </c>
      <c r="Q14" s="7">
        <f>$B14 * IFERROR(VLOOKUP("buildings|SO2|Minor restricted activity days", US_national_yearly!$D:$AM, 25, FALSE) / VLOOKUP("buildings|SO2|Minor restricted activity days", US_national_yearly!$D:$AM, 10, FALSE), 1)</f>
        <v>0.91562365913157284</v>
      </c>
      <c r="R14" s="7">
        <f>$B14 * IFERROR(VLOOKUP("buildings|SO2|Minor restricted activity days", US_national_yearly!$D:$AM, 26, FALSE) / VLOOKUP("buildings|SO2|Minor restricted activity days", US_national_yearly!$D:$AM, 10, FALSE), 1)</f>
        <v>0.92294625888972692</v>
      </c>
      <c r="S14" s="7">
        <f>$B14 * IFERROR(VLOOKUP("buildings|SO2|Minor restricted activity days", US_national_yearly!$D:$AM, 27, FALSE) / VLOOKUP("buildings|SO2|Minor restricted activity days", US_national_yearly!$D:$AM, 10, FALSE), 1)</f>
        <v>0.93041117394728567</v>
      </c>
      <c r="T14" s="7">
        <f>$B14 * IFERROR(VLOOKUP("buildings|SO2|Minor restricted activity days", US_national_yearly!$D:$AM, 28, FALSE) / VLOOKUP("buildings|SO2|Minor restricted activity days", US_national_yearly!$D:$AM, 10, FALSE), 1)</f>
        <v>0.93787608900484443</v>
      </c>
      <c r="U14" s="7">
        <f>$B14 * IFERROR(VLOOKUP("buildings|SO2|Minor restricted activity days", US_national_yearly!$D:$AM, 29, FALSE) / VLOOKUP("buildings|SO2|Minor restricted activity days", US_national_yearly!$D:$AM, 10, FALSE), 1)</f>
        <v>0.94534100406240318</v>
      </c>
      <c r="V14" s="7">
        <f>$B14 * IFERROR(VLOOKUP("buildings|SO2|Minor restricted activity days", US_national_yearly!$D:$AM, 30, FALSE) / VLOOKUP("buildings|SO2|Minor restricted activity days", US_national_yearly!$D:$AM, 10, FALSE), 1)</f>
        <v>0.95280591911996193</v>
      </c>
      <c r="W14" s="7">
        <f>$B14 * IFERROR(VLOOKUP("buildings|SO2|Minor restricted activity days", US_national_yearly!$D:$AM, 31, FALSE) / VLOOKUP("buildings|SO2|Minor restricted activity days", US_national_yearly!$D:$AM, 10, FALSE), 1)</f>
        <v>0.9602708341775209</v>
      </c>
      <c r="X14" s="7">
        <f>$B14 * IFERROR(VLOOKUP("buildings|SO2|Minor restricted activity days", US_national_yearly!$D:$AM, 32, FALSE) / VLOOKUP("buildings|SO2|Minor restricted activity days", US_national_yearly!$D:$AM, 10, FALSE), 1)</f>
        <v>0.96683579496873662</v>
      </c>
      <c r="Y14" s="7">
        <f>$B14 * IFERROR(VLOOKUP("buildings|SO2|Minor restricted activity days", US_national_yearly!$D:$AM, 33, FALSE) / VLOOKUP("buildings|SO2|Minor restricted activity days", US_national_yearly!$D:$AM, 10, FALSE), 1)</f>
        <v>0.97340075575995266</v>
      </c>
      <c r="Z14" s="7">
        <f>$B14 * IFERROR(VLOOKUP("buildings|SO2|Minor restricted activity days", US_national_yearly!$D:$AM, 34, FALSE) / VLOOKUP("buildings|SO2|Minor restricted activity days", US_national_yearly!$D:$AM, 10, FALSE), 1)</f>
        <v>0.97996571655116838</v>
      </c>
      <c r="AA14" s="7">
        <f>$B14 * IFERROR(VLOOKUP("buildings|SO2|Minor restricted activity days", US_national_yearly!$D:$AM, 35, FALSE) / VLOOKUP("buildings|SO2|Minor restricted activity days", US_national_yearly!$D:$AM, 10, FALSE), 1)</f>
        <v>0.98653067734238442</v>
      </c>
      <c r="AB14" s="7">
        <f>$B14 * IFERROR(VLOOKUP("buildings|SO2|Minor restricted activity days", US_national_yearly!$D:$AM, 36, FALSE) / VLOOKUP("buildings|SO2|Minor restricted activity days", US_national_yearly!$D:$AM, 10, FALSE), 1)</f>
        <v>0.99309563813360013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0.14338048801072084</v>
      </c>
      <c r="C15" s="7">
        <f>$B15 * IFERROR(VLOOKUP("buildings|SO2|Work loss days", US_national_yearly!$D:$AM, 11, FALSE) / VLOOKUP("buildings|SO2|Work loss days", US_national_yearly!$D:$AM, 10, FALSE), 1)</f>
        <v>0.14384632888126989</v>
      </c>
      <c r="D15" s="7">
        <f>$B15 * IFERROR(VLOOKUP("buildings|SO2|Work loss days", US_national_yearly!$D:$AM, 12, FALSE) / VLOOKUP("buildings|SO2|Work loss days", US_national_yearly!$D:$AM, 10, FALSE), 1)</f>
        <v>0.14431216975181893</v>
      </c>
      <c r="E15" s="7">
        <f>$B15 * IFERROR(VLOOKUP("buildings|SO2|Work loss days", US_national_yearly!$D:$AM, 13, FALSE) / VLOOKUP("buildings|SO2|Work loss days", US_national_yearly!$D:$AM, 10, FALSE), 1)</f>
        <v>0.14477801062236798</v>
      </c>
      <c r="F15" s="7">
        <f>$B15 * IFERROR(VLOOKUP("buildings|SO2|Work loss days", US_national_yearly!$D:$AM, 14, FALSE) / VLOOKUP("buildings|SO2|Work loss days", US_national_yearly!$D:$AM, 10, FALSE), 1)</f>
        <v>0.14524385149291699</v>
      </c>
      <c r="G15" s="7">
        <f>$B15 * IFERROR(VLOOKUP("buildings|SO2|Work loss days", US_national_yearly!$D:$AM, 15, FALSE) / VLOOKUP("buildings|SO2|Work loss days", US_national_yearly!$D:$AM, 10, FALSE), 1)</f>
        <v>0.14585226544884541</v>
      </c>
      <c r="H15" s="7">
        <f>$B15 * IFERROR(VLOOKUP("buildings|SO2|Work loss days", US_national_yearly!$D:$AM, 16, FALSE) / VLOOKUP("buildings|SO2|Work loss days", US_national_yearly!$D:$AM, 10, FALSE), 1)</f>
        <v>0.14646067940477386</v>
      </c>
      <c r="I15" s="7">
        <f>$B15 * IFERROR(VLOOKUP("buildings|SO2|Work loss days", US_national_yearly!$D:$AM, 17, FALSE) / VLOOKUP("buildings|SO2|Work loss days", US_national_yearly!$D:$AM, 10, FALSE), 1)</f>
        <v>0.14735021466258832</v>
      </c>
      <c r="J15" s="7">
        <f>$B15 * IFERROR(VLOOKUP("buildings|SO2|Work loss days", US_national_yearly!$D:$AM, 18, FALSE) / VLOOKUP("buildings|SO2|Work loss days", US_national_yearly!$D:$AM, 10, FALSE), 1)</f>
        <v>0.14823974992040276</v>
      </c>
      <c r="K15" s="7">
        <f>$B15 * IFERROR(VLOOKUP("buildings|SO2|Work loss days", US_national_yearly!$D:$AM, 19, FALSE) / VLOOKUP("buildings|SO2|Work loss days", US_national_yearly!$D:$AM, 10, FALSE), 1)</f>
        <v>0.14912928517821722</v>
      </c>
      <c r="L15" s="7">
        <f>$B15 * IFERROR(VLOOKUP("buildings|SO2|Work loss days", US_national_yearly!$D:$AM, 20, FALSE) / VLOOKUP("buildings|SO2|Work loss days", US_national_yearly!$D:$AM, 10, FALSE), 1)</f>
        <v>0.15001882043603165</v>
      </c>
      <c r="M15" s="7">
        <f>$B15 * IFERROR(VLOOKUP("buildings|SO2|Work loss days", US_national_yearly!$D:$AM, 21, FALSE) / VLOOKUP("buildings|SO2|Work loss days", US_national_yearly!$D:$AM, 10, FALSE), 1)</f>
        <v>0.15090835569384609</v>
      </c>
      <c r="N15" s="7">
        <f>$B15 * IFERROR(VLOOKUP("buildings|SO2|Work loss days", US_national_yearly!$D:$AM, 22, FALSE) / VLOOKUP("buildings|SO2|Work loss days", US_national_yearly!$D:$AM, 10, FALSE), 1)</f>
        <v>0.15202381833541467</v>
      </c>
      <c r="O15" s="7">
        <f>$B15 * IFERROR(VLOOKUP("buildings|SO2|Work loss days", US_national_yearly!$D:$AM, 23, FALSE) / VLOOKUP("buildings|SO2|Work loss days", US_national_yearly!$D:$AM, 10, FALSE), 1)</f>
        <v>0.15313928097698323</v>
      </c>
      <c r="P15" s="7">
        <f>$B15 * IFERROR(VLOOKUP("buildings|SO2|Work loss days", US_national_yearly!$D:$AM, 24, FALSE) / VLOOKUP("buildings|SO2|Work loss days", US_national_yearly!$D:$AM, 10, FALSE), 1)</f>
        <v>0.15425474361855177</v>
      </c>
      <c r="Q15" s="7">
        <f>$B15 * IFERROR(VLOOKUP("buildings|SO2|Work loss days", US_national_yearly!$D:$AM, 25, FALSE) / VLOOKUP("buildings|SO2|Work loss days", US_national_yearly!$D:$AM, 10, FALSE), 1)</f>
        <v>0.15537020626012035</v>
      </c>
      <c r="R15" s="7">
        <f>$B15 * IFERROR(VLOOKUP("buildings|SO2|Work loss days", US_national_yearly!$D:$AM, 26, FALSE) / VLOOKUP("buildings|SO2|Work loss days", US_national_yearly!$D:$AM, 10, FALSE), 1)</f>
        <v>0.15648566890168886</v>
      </c>
      <c r="S15" s="7">
        <f>$B15 * IFERROR(VLOOKUP("buildings|SO2|Work loss days", US_national_yearly!$D:$AM, 27, FALSE) / VLOOKUP("buildings|SO2|Work loss days", US_national_yearly!$D:$AM, 10, FALSE), 1)</f>
        <v>0.15773173838074134</v>
      </c>
      <c r="T15" s="7">
        <f>$B15 * IFERROR(VLOOKUP("buildings|SO2|Work loss days", US_national_yearly!$D:$AM, 28, FALSE) / VLOOKUP("buildings|SO2|Work loss days", US_national_yearly!$D:$AM, 10, FALSE), 1)</f>
        <v>0.15897780785979382</v>
      </c>
      <c r="U15" s="7">
        <f>$B15 * IFERROR(VLOOKUP("buildings|SO2|Work loss days", US_national_yearly!$D:$AM, 29, FALSE) / VLOOKUP("buildings|SO2|Work loss days", US_national_yearly!$D:$AM, 10, FALSE), 1)</f>
        <v>0.16022387733884627</v>
      </c>
      <c r="V15" s="7">
        <f>$B15 * IFERROR(VLOOKUP("buildings|SO2|Work loss days", US_national_yearly!$D:$AM, 30, FALSE) / VLOOKUP("buildings|SO2|Work loss days", US_national_yearly!$D:$AM, 10, FALSE), 1)</f>
        <v>0.16146994681789872</v>
      </c>
      <c r="W15" s="7">
        <f>$B15 * IFERROR(VLOOKUP("buildings|SO2|Work loss days", US_national_yearly!$D:$AM, 31, FALSE) / VLOOKUP("buildings|SO2|Work loss days", US_national_yearly!$D:$AM, 10, FALSE), 1)</f>
        <v>0.16271601629695118</v>
      </c>
      <c r="X15" s="7">
        <f>$B15 * IFERROR(VLOOKUP("buildings|SO2|Work loss days", US_national_yearly!$D:$AM, 32, FALSE) / VLOOKUP("buildings|SO2|Work loss days", US_national_yearly!$D:$AM, 10, FALSE), 1)</f>
        <v>0.16383483981000926</v>
      </c>
      <c r="Y15" s="7">
        <f>$B15 * IFERROR(VLOOKUP("buildings|SO2|Work loss days", US_national_yearly!$D:$AM, 33, FALSE) / VLOOKUP("buildings|SO2|Work loss days", US_national_yearly!$D:$AM, 10, FALSE), 1)</f>
        <v>0.16495366332306735</v>
      </c>
      <c r="Z15" s="7">
        <f>$B15 * IFERROR(VLOOKUP("buildings|SO2|Work loss days", US_national_yearly!$D:$AM, 34, FALSE) / VLOOKUP("buildings|SO2|Work loss days", US_national_yearly!$D:$AM, 10, FALSE), 1)</f>
        <v>0.16607248683612541</v>
      </c>
      <c r="AA15" s="7">
        <f>$B15 * IFERROR(VLOOKUP("buildings|SO2|Work loss days", US_national_yearly!$D:$AM, 35, FALSE) / VLOOKUP("buildings|SO2|Work loss days", US_national_yearly!$D:$AM, 10, FALSE), 1)</f>
        <v>0.1671913103491835</v>
      </c>
      <c r="AB15" s="7">
        <f>$B15 * IFERROR(VLOOKUP("buildings|SO2|Work loss days", US_national_yearly!$D:$AM, 36, FALSE) / VLOOKUP("buildings|SO2|Work loss days", US_national_yearly!$D:$AM, 10, FALSE), 1)</f>
        <v>0.16831013386224156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3.0516250238711812E-4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3.1439347232120206E-4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3.2362444225528594E-4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3.3285541218936994E-4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3.4208638212345388E-4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3.5092909839714388E-4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3.5977181467083377E-4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3.6735000470396433E-4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3.7492819473709479E-4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3.8250638477022535E-4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3.9008457480335581E-4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3.9766276483648626E-4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4.0275136756837658E-4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4.078399703002669E-4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4.1292857303215722E-4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4.1801717576404749E-4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4.2310577849593781E-4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4.2578176717732944E-4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4.2845775585872103E-4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4.3113374454011261E-4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4.3380973322150419E-4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4.3648572190289577E-4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4.3828265431818732E-4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4.4007958673347882E-4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4.4187651914877037E-4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4.4367345156406192E-4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4.4547038397935342E-4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1.5738731580433769E-2</v>
      </c>
      <c r="C2" s="7">
        <f>$B2 * IFERROR(VLOOKUP("industry|PM25|Premature mortality", US_national_yearly!$D:$AM, 11, FALSE) / VLOOKUP("industry|PM25|Premature mortality", US_national_yearly!$D:$AM, 10, FALSE), 1)</f>
        <v>1.5934730221123856E-2</v>
      </c>
      <c r="D2" s="7">
        <f>$B2 * IFERROR(VLOOKUP("industry|PM25|Premature mortality", US_national_yearly!$D:$AM, 12, FALSE) / VLOOKUP("industry|PM25|Premature mortality", US_national_yearly!$D:$AM, 10, FALSE), 1)</f>
        <v>1.613072886181394E-2</v>
      </c>
      <c r="E2" s="7">
        <f>$B2 * IFERROR(VLOOKUP("industry|PM25|Premature mortality", US_national_yearly!$D:$AM, 13, FALSE) / VLOOKUP("industry|PM25|Premature mortality", US_national_yearly!$D:$AM, 10, FALSE), 1)</f>
        <v>1.6326727502504027E-2</v>
      </c>
      <c r="F2" s="7">
        <f>$B2 * IFERROR(VLOOKUP("industry|PM25|Premature mortality", US_national_yearly!$D:$AM, 14, FALSE) / VLOOKUP("industry|PM25|Premature mortality", US_national_yearly!$D:$AM, 10, FALSE), 1)</f>
        <v>1.6522726143194111E-2</v>
      </c>
      <c r="G2" s="7">
        <f>$B2 * IFERROR(VLOOKUP("industry|PM25|Premature mortality", US_national_yearly!$D:$AM, 15, FALSE) / VLOOKUP("industry|PM25|Premature mortality", US_national_yearly!$D:$AM, 10, FALSE), 1)</f>
        <v>1.690403845431817E-2</v>
      </c>
      <c r="H2" s="7">
        <f>$B2 * IFERROR(VLOOKUP("industry|PM25|Premature mortality", US_national_yearly!$D:$AM, 16, FALSE) / VLOOKUP("industry|PM25|Premature mortality", US_national_yearly!$D:$AM, 10, FALSE), 1)</f>
        <v>1.7285350765442232E-2</v>
      </c>
      <c r="I2" s="7">
        <f>$B2 * IFERROR(VLOOKUP("industry|PM25|Premature mortality", US_national_yearly!$D:$AM, 17, FALSE) / VLOOKUP("industry|PM25|Premature mortality", US_national_yearly!$D:$AM, 10, FALSE), 1)</f>
        <v>1.7537130016871821E-2</v>
      </c>
      <c r="J2" s="7">
        <f>$B2 * IFERROR(VLOOKUP("industry|PM25|Premature mortality", US_national_yearly!$D:$AM, 18, FALSE) / VLOOKUP("industry|PM25|Premature mortality", US_national_yearly!$D:$AM, 10, FALSE), 1)</f>
        <v>1.7788909268301407E-2</v>
      </c>
      <c r="K2" s="7">
        <f>$B2 * IFERROR(VLOOKUP("industry|PM25|Premature mortality", US_national_yearly!$D:$AM, 19, FALSE) / VLOOKUP("industry|PM25|Premature mortality", US_national_yearly!$D:$AM, 10, FALSE), 1)</f>
        <v>1.8040688519730994E-2</v>
      </c>
      <c r="L2" s="7">
        <f>$B2 * IFERROR(VLOOKUP("industry|PM25|Premature mortality", US_national_yearly!$D:$AM, 20, FALSE) / VLOOKUP("industry|PM25|Premature mortality", US_national_yearly!$D:$AM, 10, FALSE), 1)</f>
        <v>1.829246777116058E-2</v>
      </c>
      <c r="M2" s="7">
        <f>$B2 * IFERROR(VLOOKUP("industry|PM25|Premature mortality", US_national_yearly!$D:$AM, 21, FALSE) / VLOOKUP("industry|PM25|Premature mortality", US_national_yearly!$D:$AM, 10, FALSE), 1)</f>
        <v>1.8544247022590169E-2</v>
      </c>
      <c r="N2" s="7">
        <f>$B2 * IFERROR(VLOOKUP("industry|PM25|Premature mortality", US_national_yearly!$D:$AM, 22, FALSE) / VLOOKUP("industry|PM25|Premature mortality", US_national_yearly!$D:$AM, 10, FALSE), 1)</f>
        <v>1.8740404585790613E-2</v>
      </c>
      <c r="O2" s="7">
        <f>$B2 * IFERROR(VLOOKUP("industry|PM25|Premature mortality", US_national_yearly!$D:$AM, 23, FALSE) / VLOOKUP("industry|PM25|Premature mortality", US_national_yearly!$D:$AM, 10, FALSE), 1)</f>
        <v>1.8936562148991049E-2</v>
      </c>
      <c r="P2" s="7">
        <f>$B2 * IFERROR(VLOOKUP("industry|PM25|Premature mortality", US_national_yearly!$D:$AM, 24, FALSE) / VLOOKUP("industry|PM25|Premature mortality", US_national_yearly!$D:$AM, 10, FALSE), 1)</f>
        <v>1.9132719712191489E-2</v>
      </c>
      <c r="Q2" s="7">
        <f>$B2 * IFERROR(VLOOKUP("industry|PM25|Premature mortality", US_national_yearly!$D:$AM, 25, FALSE) / VLOOKUP("industry|PM25|Premature mortality", US_national_yearly!$D:$AM, 10, FALSE), 1)</f>
        <v>1.9328877275391929E-2</v>
      </c>
      <c r="R2" s="7">
        <f>$B2 * IFERROR(VLOOKUP("industry|PM25|Premature mortality", US_national_yearly!$D:$AM, 26, FALSE) / VLOOKUP("industry|PM25|Premature mortality", US_national_yearly!$D:$AM, 10, FALSE), 1)</f>
        <v>1.9525034838592369E-2</v>
      </c>
      <c r="S2" s="7">
        <f>$B2 * IFERROR(VLOOKUP("industry|PM25|Premature mortality", US_national_yearly!$D:$AM, 27, FALSE) / VLOOKUP("industry|PM25|Premature mortality", US_national_yearly!$D:$AM, 10, FALSE), 1)</f>
        <v>1.9630952647290846E-2</v>
      </c>
      <c r="T2" s="7">
        <f>$B2 * IFERROR(VLOOKUP("industry|PM25|Premature mortality", US_national_yearly!$D:$AM, 28, FALSE) / VLOOKUP("industry|PM25|Premature mortality", US_national_yearly!$D:$AM, 10, FALSE), 1)</f>
        <v>1.9736870455989323E-2</v>
      </c>
      <c r="U2" s="7">
        <f>$B2 * IFERROR(VLOOKUP("industry|PM25|Premature mortality", US_national_yearly!$D:$AM, 29, FALSE) / VLOOKUP("industry|PM25|Premature mortality", US_national_yearly!$D:$AM, 10, FALSE), 1)</f>
        <v>1.984278826468781E-2</v>
      </c>
      <c r="V2" s="7">
        <f>$B2 * IFERROR(VLOOKUP("industry|PM25|Premature mortality", US_national_yearly!$D:$AM, 30, FALSE) / VLOOKUP("industry|PM25|Premature mortality", US_national_yearly!$D:$AM, 10, FALSE), 1)</f>
        <v>1.9948706073386287E-2</v>
      </c>
      <c r="W2" s="7">
        <f>$B2 * IFERROR(VLOOKUP("industry|PM25|Premature mortality", US_national_yearly!$D:$AM, 31, FALSE) / VLOOKUP("industry|PM25|Premature mortality", US_national_yearly!$D:$AM, 10, FALSE), 1)</f>
        <v>2.0054623882084767E-2</v>
      </c>
      <c r="X2" s="7">
        <f>$B2 * IFERROR(VLOOKUP("industry|PM25|Premature mortality", US_national_yearly!$D:$AM, 32, FALSE) / VLOOKUP("industry|PM25|Premature mortality", US_national_yearly!$D:$AM, 10, FALSE), 1)</f>
        <v>2.0076492197093725E-2</v>
      </c>
      <c r="Y2" s="7">
        <f>$B2 * IFERROR(VLOOKUP("industry|PM25|Premature mortality", US_national_yearly!$D:$AM, 33, FALSE) / VLOOKUP("industry|PM25|Premature mortality", US_national_yearly!$D:$AM, 10, FALSE), 1)</f>
        <v>2.0098360512102693E-2</v>
      </c>
      <c r="Z2" s="7">
        <f>$B2 * IFERROR(VLOOKUP("industry|PM25|Premature mortality", US_national_yearly!$D:$AM, 34, FALSE) / VLOOKUP("industry|PM25|Premature mortality", US_national_yearly!$D:$AM, 10, FALSE), 1)</f>
        <v>2.012022882711165E-2</v>
      </c>
      <c r="AA2" s="7">
        <f>$B2 * IFERROR(VLOOKUP("industry|PM25|Premature mortality", US_national_yearly!$D:$AM, 35, FALSE) / VLOOKUP("industry|PM25|Premature mortality", US_national_yearly!$D:$AM, 10, FALSE), 1)</f>
        <v>2.0142097142120615E-2</v>
      </c>
      <c r="AB2" s="7">
        <f>$B2 * IFERROR(VLOOKUP("industry|PM25|Premature mortality", US_national_yearly!$D:$AM, 36, FALSE) / VLOOKUP("industry|PM25|Premature mortality", US_national_yearly!$D:$AM, 10, FALSE), 1)</f>
        <v>2.0163965457129576E-2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4.4235188712626654E-5</v>
      </c>
      <c r="C3" s="7">
        <f>$B3 * IFERROR(VLOOKUP("industry|PM25|Infant mortality", US_national_yearly!$D:$AM, 11, FALSE) / VLOOKUP("industry|PM25|Infant mortality", US_national_yearly!$D:$AM, 10, FALSE), 1)</f>
        <v>4.3850039610693965E-5</v>
      </c>
      <c r="D3" s="7">
        <f>$B3 * IFERROR(VLOOKUP("industry|PM25|Infant mortality", US_national_yearly!$D:$AM, 12, FALSE) / VLOOKUP("industry|PM25|Infant mortality", US_national_yearly!$D:$AM, 10, FALSE), 1)</f>
        <v>4.3464890508761277E-5</v>
      </c>
      <c r="E3" s="7">
        <f>$B3 * IFERROR(VLOOKUP("industry|PM25|Infant mortality", US_national_yearly!$D:$AM, 13, FALSE) / VLOOKUP("industry|PM25|Infant mortality", US_national_yearly!$D:$AM, 10, FALSE), 1)</f>
        <v>4.3079741406828575E-5</v>
      </c>
      <c r="F3" s="7">
        <f>$B3 * IFERROR(VLOOKUP("industry|PM25|Infant mortality", US_national_yearly!$D:$AM, 14, FALSE) / VLOOKUP("industry|PM25|Infant mortality", US_national_yearly!$D:$AM, 10, FALSE), 1)</f>
        <v>4.2694592304895894E-5</v>
      </c>
      <c r="G3" s="7">
        <f>$B3 * IFERROR(VLOOKUP("industry|PM25|Infant mortality", US_national_yearly!$D:$AM, 15, FALSE) / VLOOKUP("industry|PM25|Infant mortality", US_national_yearly!$D:$AM, 10, FALSE), 1)</f>
        <v>2.8367781565407856E-5</v>
      </c>
      <c r="H3" s="7">
        <f>$B3 * IFERROR(VLOOKUP("industry|PM25|Infant mortality", US_national_yearly!$D:$AM, 16, FALSE) / VLOOKUP("industry|PM25|Infant mortality", US_national_yearly!$D:$AM, 10, FALSE), 1)</f>
        <v>1.4040970825919822E-5</v>
      </c>
      <c r="I3" s="7">
        <f>$B3 * IFERROR(VLOOKUP("industry|PM25|Infant mortality", US_national_yearly!$D:$AM, 17, FALSE) / VLOOKUP("industry|PM25|Infant mortality", US_national_yearly!$D:$AM, 10, FALSE), 1)</f>
        <v>1.3947514316275977E-5</v>
      </c>
      <c r="J3" s="7">
        <f>$B3 * IFERROR(VLOOKUP("industry|PM25|Infant mortality", US_national_yearly!$D:$AM, 18, FALSE) / VLOOKUP("industry|PM25|Infant mortality", US_national_yearly!$D:$AM, 10, FALSE), 1)</f>
        <v>1.3854057806632131E-5</v>
      </c>
      <c r="K3" s="7">
        <f>$B3 * IFERROR(VLOOKUP("industry|PM25|Infant mortality", US_national_yearly!$D:$AM, 19, FALSE) / VLOOKUP("industry|PM25|Infant mortality", US_national_yearly!$D:$AM, 10, FALSE), 1)</f>
        <v>1.3760601296988285E-5</v>
      </c>
      <c r="L3" s="7">
        <f>$B3 * IFERROR(VLOOKUP("industry|PM25|Infant mortality", US_national_yearly!$D:$AM, 20, FALSE) / VLOOKUP("industry|PM25|Infant mortality", US_national_yearly!$D:$AM, 10, FALSE), 1)</f>
        <v>1.3667144787344437E-5</v>
      </c>
      <c r="M3" s="7">
        <f>$B3 * IFERROR(VLOOKUP("industry|PM25|Infant mortality", US_national_yearly!$D:$AM, 21, FALSE) / VLOOKUP("industry|PM25|Infant mortality", US_national_yearly!$D:$AM, 10, FALSE), 1)</f>
        <v>1.3573688277700594E-5</v>
      </c>
      <c r="N3" s="7">
        <f>$B3 * IFERROR(VLOOKUP("industry|PM25|Infant mortality", US_national_yearly!$D:$AM, 22, FALSE) / VLOOKUP("industry|PM25|Infant mortality", US_national_yearly!$D:$AM, 10, FALSE), 1)</f>
        <v>1.3514053923833783E-5</v>
      </c>
      <c r="O3" s="7">
        <f>$B3 * IFERROR(VLOOKUP("industry|PM25|Infant mortality", US_national_yearly!$D:$AM, 23, FALSE) / VLOOKUP("industry|PM25|Infant mortality", US_national_yearly!$D:$AM, 10, FALSE), 1)</f>
        <v>1.3454419569966976E-5</v>
      </c>
      <c r="P3" s="7">
        <f>$B3 * IFERROR(VLOOKUP("industry|PM25|Infant mortality", US_national_yearly!$D:$AM, 24, FALSE) / VLOOKUP("industry|PM25|Infant mortality", US_national_yearly!$D:$AM, 10, FALSE), 1)</f>
        <v>1.339478521610017E-5</v>
      </c>
      <c r="Q3" s="7">
        <f>$B3 * IFERROR(VLOOKUP("industry|PM25|Infant mortality", US_national_yearly!$D:$AM, 25, FALSE) / VLOOKUP("industry|PM25|Infant mortality", US_national_yearly!$D:$AM, 10, FALSE), 1)</f>
        <v>1.3335150862233362E-5</v>
      </c>
      <c r="R3" s="7">
        <f>$B3 * IFERROR(VLOOKUP("industry|PM25|Infant mortality", US_national_yearly!$D:$AM, 26, FALSE) / VLOOKUP("industry|PM25|Infant mortality", US_national_yearly!$D:$AM, 10, FALSE), 1)</f>
        <v>1.3275516508366553E-5</v>
      </c>
      <c r="S3" s="7">
        <f>$B3 * IFERROR(VLOOKUP("industry|PM25|Infant mortality", US_national_yearly!$D:$AM, 27, FALSE) / VLOOKUP("industry|PM25|Infant mortality", US_national_yearly!$D:$AM, 10, FALSE), 1)</f>
        <v>1.3202171637518232E-5</v>
      </c>
      <c r="T3" s="7">
        <f>$B3 * IFERROR(VLOOKUP("industry|PM25|Infant mortality", US_national_yearly!$D:$AM, 28, FALSE) / VLOOKUP("industry|PM25|Infant mortality", US_national_yearly!$D:$AM, 10, FALSE), 1)</f>
        <v>1.3128826766669912E-5</v>
      </c>
      <c r="U3" s="7">
        <f>$B3 * IFERROR(VLOOKUP("industry|PM25|Infant mortality", US_national_yearly!$D:$AM, 29, FALSE) / VLOOKUP("industry|PM25|Infant mortality", US_national_yearly!$D:$AM, 10, FALSE), 1)</f>
        <v>1.305548189582159E-5</v>
      </c>
      <c r="V3" s="7">
        <f>$B3 * IFERROR(VLOOKUP("industry|PM25|Infant mortality", US_national_yearly!$D:$AM, 30, FALSE) / VLOOKUP("industry|PM25|Infant mortality", US_national_yearly!$D:$AM, 10, FALSE), 1)</f>
        <v>1.2982137024973271E-5</v>
      </c>
      <c r="W3" s="7">
        <f>$B3 * IFERROR(VLOOKUP("industry|PM25|Infant mortality", US_national_yearly!$D:$AM, 31, FALSE) / VLOOKUP("industry|PM25|Infant mortality", US_national_yearly!$D:$AM, 10, FALSE), 1)</f>
        <v>1.2908792154124952E-5</v>
      </c>
      <c r="X3" s="7">
        <f>$B3 * IFERROR(VLOOKUP("industry|PM25|Infant mortality", US_national_yearly!$D:$AM, 32, FALSE) / VLOOKUP("industry|PM25|Infant mortality", US_national_yearly!$D:$AM, 10, FALSE), 1)</f>
        <v>1.2830413969256605E-5</v>
      </c>
      <c r="Y3" s="7">
        <f>$B3 * IFERROR(VLOOKUP("industry|PM25|Infant mortality", US_national_yearly!$D:$AM, 33, FALSE) / VLOOKUP("industry|PM25|Infant mortality", US_national_yearly!$D:$AM, 10, FALSE), 1)</f>
        <v>1.2752035784388261E-5</v>
      </c>
      <c r="Z3" s="7">
        <f>$B3 * IFERROR(VLOOKUP("industry|PM25|Infant mortality", US_national_yearly!$D:$AM, 34, FALSE) / VLOOKUP("industry|PM25|Infant mortality", US_national_yearly!$D:$AM, 10, FALSE), 1)</f>
        <v>1.2673657599519916E-5</v>
      </c>
      <c r="AA3" s="7">
        <f>$B3 * IFERROR(VLOOKUP("industry|PM25|Infant mortality", US_national_yearly!$D:$AM, 35, FALSE) / VLOOKUP("industry|PM25|Infant mortality", US_national_yearly!$D:$AM, 10, FALSE), 1)</f>
        <v>1.259527941465157E-5</v>
      </c>
      <c r="AB3" s="7">
        <f>$B3 * IFERROR(VLOOKUP("industry|PM25|Infant mortality", US_national_yearly!$D:$AM, 36, FALSE) / VLOOKUP("industry|PM25|Infant mortality", US_national_yearly!$D:$AM, 10, FALSE), 1)</f>
        <v>1.2516901229783225E-5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3.8380873744801328E-2</v>
      </c>
      <c r="C6" s="7">
        <f>$B6 * IFERROR(VLOOKUP("industry|PM25|Asthma symptoms cough", US_national_yearly!$D:$AM, 11, FALSE) / VLOOKUP("industry|PM25|Asthma symptoms cough", US_national_yearly!$D:$AM, 10, FALSE), 1)</f>
        <v>3.8380873744801328E-2</v>
      </c>
      <c r="D6" s="7">
        <f>$B6 * IFERROR(VLOOKUP("industry|PM25|Asthma symptoms cough", US_national_yearly!$D:$AM, 12, FALSE) / VLOOKUP("industry|PM25|Asthma symptoms cough", US_national_yearly!$D:$AM, 10, FALSE), 1)</f>
        <v>3.8380873744801328E-2</v>
      </c>
      <c r="E6" s="7">
        <f>$B6 * IFERROR(VLOOKUP("industry|PM25|Asthma symptoms cough", US_national_yearly!$D:$AM, 13, FALSE) / VLOOKUP("industry|PM25|Asthma symptoms cough", US_national_yearly!$D:$AM, 10, FALSE), 1)</f>
        <v>3.8380873744801328E-2</v>
      </c>
      <c r="F6" s="7">
        <f>$B6 * IFERROR(VLOOKUP("industry|PM25|Asthma symptoms cough", US_national_yearly!$D:$AM, 14, FALSE) / VLOOKUP("industry|PM25|Asthma symptoms cough", US_national_yearly!$D:$AM, 10, FALSE), 1)</f>
        <v>3.8380873744801328E-2</v>
      </c>
      <c r="G6" s="7">
        <f>$B6 * IFERROR(VLOOKUP("industry|PM25|Asthma symptoms cough", US_national_yearly!$D:$AM, 15, FALSE) / VLOOKUP("industry|PM25|Asthma symptoms cough", US_national_yearly!$D:$AM, 10, FALSE), 1)</f>
        <v>3.8380873744801328E-2</v>
      </c>
      <c r="H6" s="7">
        <f>$B6 * IFERROR(VLOOKUP("industry|PM25|Asthma symptoms cough", US_national_yearly!$D:$AM, 16, FALSE) / VLOOKUP("industry|PM25|Asthma symptoms cough", US_national_yearly!$D:$AM, 10, FALSE), 1)</f>
        <v>3.8380873744801328E-2</v>
      </c>
      <c r="I6" s="7">
        <f>$B6 * IFERROR(VLOOKUP("industry|PM25|Asthma symptoms cough", US_national_yearly!$D:$AM, 17, FALSE) / VLOOKUP("industry|PM25|Asthma symptoms cough", US_national_yearly!$D:$AM, 10, FALSE), 1)</f>
        <v>3.8380873744801328E-2</v>
      </c>
      <c r="J6" s="7">
        <f>$B6 * IFERROR(VLOOKUP("industry|PM25|Asthma symptoms cough", US_national_yearly!$D:$AM, 18, FALSE) / VLOOKUP("industry|PM25|Asthma symptoms cough", US_national_yearly!$D:$AM, 10, FALSE), 1)</f>
        <v>3.8380873744801328E-2</v>
      </c>
      <c r="K6" s="7">
        <f>$B6 * IFERROR(VLOOKUP("industry|PM25|Asthma symptoms cough", US_national_yearly!$D:$AM, 19, FALSE) / VLOOKUP("industry|PM25|Asthma symptoms cough", US_national_yearly!$D:$AM, 10, FALSE), 1)</f>
        <v>3.8380873744801328E-2</v>
      </c>
      <c r="L6" s="7">
        <f>$B6 * IFERROR(VLOOKUP("industry|PM25|Asthma symptoms cough", US_national_yearly!$D:$AM, 20, FALSE) / VLOOKUP("industry|PM25|Asthma symptoms cough", US_national_yearly!$D:$AM, 10, FALSE), 1)</f>
        <v>3.8380873744801328E-2</v>
      </c>
      <c r="M6" s="7">
        <f>$B6 * IFERROR(VLOOKUP("industry|PM25|Asthma symptoms cough", US_national_yearly!$D:$AM, 21, FALSE) / VLOOKUP("industry|PM25|Asthma symptoms cough", US_national_yearly!$D:$AM, 10, FALSE), 1)</f>
        <v>3.8380873744801328E-2</v>
      </c>
      <c r="N6" s="7">
        <f>$B6 * IFERROR(VLOOKUP("industry|PM25|Asthma symptoms cough", US_national_yearly!$D:$AM, 22, FALSE) / VLOOKUP("industry|PM25|Asthma symptoms cough", US_national_yearly!$D:$AM, 10, FALSE), 1)</f>
        <v>3.8380873744801328E-2</v>
      </c>
      <c r="O6" s="7">
        <f>$B6 * IFERROR(VLOOKUP("industry|PM25|Asthma symptoms cough", US_national_yearly!$D:$AM, 23, FALSE) / VLOOKUP("industry|PM25|Asthma symptoms cough", US_national_yearly!$D:$AM, 10, FALSE), 1)</f>
        <v>3.8380873744801328E-2</v>
      </c>
      <c r="P6" s="7">
        <f>$B6 * IFERROR(VLOOKUP("industry|PM25|Asthma symptoms cough", US_national_yearly!$D:$AM, 24, FALSE) / VLOOKUP("industry|PM25|Asthma symptoms cough", US_national_yearly!$D:$AM, 10, FALSE), 1)</f>
        <v>3.8380873744801328E-2</v>
      </c>
      <c r="Q6" s="7">
        <f>$B6 * IFERROR(VLOOKUP("industry|PM25|Asthma symptoms cough", US_national_yearly!$D:$AM, 25, FALSE) / VLOOKUP("industry|PM25|Asthma symptoms cough", US_national_yearly!$D:$AM, 10, FALSE), 1)</f>
        <v>3.8380873744801328E-2</v>
      </c>
      <c r="R6" s="7">
        <f>$B6 * IFERROR(VLOOKUP("industry|PM25|Asthma symptoms cough", US_national_yearly!$D:$AM, 26, FALSE) / VLOOKUP("industry|PM25|Asthma symptoms cough", US_national_yearly!$D:$AM, 10, FALSE), 1)</f>
        <v>3.8380873744801328E-2</v>
      </c>
      <c r="S6" s="7">
        <f>$B6 * IFERROR(VLOOKUP("industry|PM25|Asthma symptoms cough", US_national_yearly!$D:$AM, 27, FALSE) / VLOOKUP("industry|PM25|Asthma symptoms cough", US_national_yearly!$D:$AM, 10, FALSE), 1)</f>
        <v>3.8380873744801328E-2</v>
      </c>
      <c r="T6" s="7">
        <f>$B6 * IFERROR(VLOOKUP("industry|PM25|Asthma symptoms cough", US_national_yearly!$D:$AM, 28, FALSE) / VLOOKUP("industry|PM25|Asthma symptoms cough", US_national_yearly!$D:$AM, 10, FALSE), 1)</f>
        <v>3.8380873744801328E-2</v>
      </c>
      <c r="U6" s="7">
        <f>$B6 * IFERROR(VLOOKUP("industry|PM25|Asthma symptoms cough", US_national_yearly!$D:$AM, 29, FALSE) / VLOOKUP("industry|PM25|Asthma symptoms cough", US_national_yearly!$D:$AM, 10, FALSE), 1)</f>
        <v>3.8380873744801328E-2</v>
      </c>
      <c r="V6" s="7">
        <f>$B6 * IFERROR(VLOOKUP("industry|PM25|Asthma symptoms cough", US_national_yearly!$D:$AM, 30, FALSE) / VLOOKUP("industry|PM25|Asthma symptoms cough", US_national_yearly!$D:$AM, 10, FALSE), 1)</f>
        <v>3.8380873744801328E-2</v>
      </c>
      <c r="W6" s="7">
        <f>$B6 * IFERROR(VLOOKUP("industry|PM25|Asthma symptoms cough", US_national_yearly!$D:$AM, 31, FALSE) / VLOOKUP("industry|PM25|Asthma symptoms cough", US_national_yearly!$D:$AM, 10, FALSE), 1)</f>
        <v>3.8380873744801328E-2</v>
      </c>
      <c r="X6" s="7">
        <f>$B6 * IFERROR(VLOOKUP("industry|PM25|Asthma symptoms cough", US_national_yearly!$D:$AM, 32, FALSE) / VLOOKUP("industry|PM25|Asthma symptoms cough", US_national_yearly!$D:$AM, 10, FALSE), 1)</f>
        <v>3.8380873744801328E-2</v>
      </c>
      <c r="Y6" s="7">
        <f>$B6 * IFERROR(VLOOKUP("industry|PM25|Asthma symptoms cough", US_national_yearly!$D:$AM, 33, FALSE) / VLOOKUP("industry|PM25|Asthma symptoms cough", US_national_yearly!$D:$AM, 10, FALSE), 1)</f>
        <v>3.8380873744801328E-2</v>
      </c>
      <c r="Z6" s="7">
        <f>$B6 * IFERROR(VLOOKUP("industry|PM25|Asthma symptoms cough", US_national_yearly!$D:$AM, 34, FALSE) / VLOOKUP("industry|PM25|Asthma symptoms cough", US_national_yearly!$D:$AM, 10, FALSE), 1)</f>
        <v>3.8380873744801328E-2</v>
      </c>
      <c r="AA6" s="7">
        <f>$B6 * IFERROR(VLOOKUP("industry|PM25|Asthma symptoms cough", US_national_yearly!$D:$AM, 35, FALSE) / VLOOKUP("industry|PM25|Asthma symptoms cough", US_national_yearly!$D:$AM, 10, FALSE), 1)</f>
        <v>3.8380873744801328E-2</v>
      </c>
      <c r="AB6" s="7">
        <f>$B6 * IFERROR(VLOOKUP("industry|PM25|Asthma symptoms cough", US_national_yearly!$D:$AM, 36, FALSE) / VLOOKUP("industry|PM25|Asthma symptoms cough", US_national_yearly!$D:$AM, 10, FALSE), 1)</f>
        <v>3.8380873744801328E-2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5.168451219633597E-2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5.168451219633597E-2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5.168451219633597E-2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5.168451219633597E-2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5.168451219633597E-2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5.168451219633597E-2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5.168451219633597E-2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5.168451219633597E-2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5.168451219633597E-2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5.168451219633597E-2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5.168451219633597E-2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5.168451219633597E-2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5.168451219633597E-2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5.168451219633597E-2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5.168451219633597E-2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5.168451219633597E-2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5.168451219633597E-2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5.168451219633597E-2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5.168451219633597E-2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5.168451219633597E-2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5.168451219633597E-2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5.168451219633597E-2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5.168451219633597E-2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5.168451219633597E-2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5.168451219633597E-2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5.168451219633597E-2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5.168451219633597E-2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7.8968397470100468E-2</v>
      </c>
      <c r="C8" s="7">
        <f>$B8 * IFERROR(VLOOKUP("industry|PM25|Asthma symptoms wheeze", US_national_yearly!$D:$AM, 11, FALSE) / VLOOKUP("industry|PM25|Asthma symptoms wheeze", US_national_yearly!$D:$AM, 10, FALSE), 1)</f>
        <v>7.8968397470100468E-2</v>
      </c>
      <c r="D8" s="7">
        <f>$B8 * IFERROR(VLOOKUP("industry|PM25|Asthma symptoms wheeze", US_national_yearly!$D:$AM, 12, FALSE) / VLOOKUP("industry|PM25|Asthma symptoms wheeze", US_national_yearly!$D:$AM, 10, FALSE), 1)</f>
        <v>7.8968397470100468E-2</v>
      </c>
      <c r="E8" s="7">
        <f>$B8 * IFERROR(VLOOKUP("industry|PM25|Asthma symptoms wheeze", US_national_yearly!$D:$AM, 13, FALSE) / VLOOKUP("industry|PM25|Asthma symptoms wheeze", US_national_yearly!$D:$AM, 10, FALSE), 1)</f>
        <v>7.8968397470100468E-2</v>
      </c>
      <c r="F8" s="7">
        <f>$B8 * IFERROR(VLOOKUP("industry|PM25|Asthma symptoms wheeze", US_national_yearly!$D:$AM, 14, FALSE) / VLOOKUP("industry|PM25|Asthma symptoms wheeze", US_national_yearly!$D:$AM, 10, FALSE), 1)</f>
        <v>7.8968397470100468E-2</v>
      </c>
      <c r="G8" s="7">
        <f>$B8 * IFERROR(VLOOKUP("industry|PM25|Asthma symptoms wheeze", US_national_yearly!$D:$AM, 15, FALSE) / VLOOKUP("industry|PM25|Asthma symptoms wheeze", US_national_yearly!$D:$AM, 10, FALSE), 1)</f>
        <v>7.8968397470100468E-2</v>
      </c>
      <c r="H8" s="7">
        <f>$B8 * IFERROR(VLOOKUP("industry|PM25|Asthma symptoms wheeze", US_national_yearly!$D:$AM, 16, FALSE) / VLOOKUP("industry|PM25|Asthma symptoms wheeze", US_national_yearly!$D:$AM, 10, FALSE), 1)</f>
        <v>7.8968397470100468E-2</v>
      </c>
      <c r="I8" s="7">
        <f>$B8 * IFERROR(VLOOKUP("industry|PM25|Asthma symptoms wheeze", US_national_yearly!$D:$AM, 17, FALSE) / VLOOKUP("industry|PM25|Asthma symptoms wheeze", US_national_yearly!$D:$AM, 10, FALSE), 1)</f>
        <v>7.8968397470100468E-2</v>
      </c>
      <c r="J8" s="7">
        <f>$B8 * IFERROR(VLOOKUP("industry|PM25|Asthma symptoms wheeze", US_national_yearly!$D:$AM, 18, FALSE) / VLOOKUP("industry|PM25|Asthma symptoms wheeze", US_national_yearly!$D:$AM, 10, FALSE), 1)</f>
        <v>7.8968397470100468E-2</v>
      </c>
      <c r="K8" s="7">
        <f>$B8 * IFERROR(VLOOKUP("industry|PM25|Asthma symptoms wheeze", US_national_yearly!$D:$AM, 19, FALSE) / VLOOKUP("industry|PM25|Asthma symptoms wheeze", US_national_yearly!$D:$AM, 10, FALSE), 1)</f>
        <v>7.8968397470100468E-2</v>
      </c>
      <c r="L8" s="7">
        <f>$B8 * IFERROR(VLOOKUP("industry|PM25|Asthma symptoms wheeze", US_national_yearly!$D:$AM, 20, FALSE) / VLOOKUP("industry|PM25|Asthma symptoms wheeze", US_national_yearly!$D:$AM, 10, FALSE), 1)</f>
        <v>7.8968397470100468E-2</v>
      </c>
      <c r="M8" s="7">
        <f>$B8 * IFERROR(VLOOKUP("industry|PM25|Asthma symptoms wheeze", US_national_yearly!$D:$AM, 21, FALSE) / VLOOKUP("industry|PM25|Asthma symptoms wheeze", US_national_yearly!$D:$AM, 10, FALSE), 1)</f>
        <v>7.8968397470100468E-2</v>
      </c>
      <c r="N8" s="7">
        <f>$B8 * IFERROR(VLOOKUP("industry|PM25|Asthma symptoms wheeze", US_national_yearly!$D:$AM, 22, FALSE) / VLOOKUP("industry|PM25|Asthma symptoms wheeze", US_national_yearly!$D:$AM, 10, FALSE), 1)</f>
        <v>7.8968397470100468E-2</v>
      </c>
      <c r="O8" s="7">
        <f>$B8 * IFERROR(VLOOKUP("industry|PM25|Asthma symptoms wheeze", US_national_yearly!$D:$AM, 23, FALSE) / VLOOKUP("industry|PM25|Asthma symptoms wheeze", US_national_yearly!$D:$AM, 10, FALSE), 1)</f>
        <v>7.8968397470100468E-2</v>
      </c>
      <c r="P8" s="7">
        <f>$B8 * IFERROR(VLOOKUP("industry|PM25|Asthma symptoms wheeze", US_national_yearly!$D:$AM, 24, FALSE) / VLOOKUP("industry|PM25|Asthma symptoms wheeze", US_national_yearly!$D:$AM, 10, FALSE), 1)</f>
        <v>7.8968397470100468E-2</v>
      </c>
      <c r="Q8" s="7">
        <f>$B8 * IFERROR(VLOOKUP("industry|PM25|Asthma symptoms wheeze", US_national_yearly!$D:$AM, 25, FALSE) / VLOOKUP("industry|PM25|Asthma symptoms wheeze", US_national_yearly!$D:$AM, 10, FALSE), 1)</f>
        <v>7.8968397470100468E-2</v>
      </c>
      <c r="R8" s="7">
        <f>$B8 * IFERROR(VLOOKUP("industry|PM25|Asthma symptoms wheeze", US_national_yearly!$D:$AM, 26, FALSE) / VLOOKUP("industry|PM25|Asthma symptoms wheeze", US_national_yearly!$D:$AM, 10, FALSE), 1)</f>
        <v>7.8968397470100468E-2</v>
      </c>
      <c r="S8" s="7">
        <f>$B8 * IFERROR(VLOOKUP("industry|PM25|Asthma symptoms wheeze", US_national_yearly!$D:$AM, 27, FALSE) / VLOOKUP("industry|PM25|Asthma symptoms wheeze", US_national_yearly!$D:$AM, 10, FALSE), 1)</f>
        <v>7.8968397470100468E-2</v>
      </c>
      <c r="T8" s="7">
        <f>$B8 * IFERROR(VLOOKUP("industry|PM25|Asthma symptoms wheeze", US_national_yearly!$D:$AM, 28, FALSE) / VLOOKUP("industry|PM25|Asthma symptoms wheeze", US_national_yearly!$D:$AM, 10, FALSE), 1)</f>
        <v>7.8968397470100468E-2</v>
      </c>
      <c r="U8" s="7">
        <f>$B8 * IFERROR(VLOOKUP("industry|PM25|Asthma symptoms wheeze", US_national_yearly!$D:$AM, 29, FALSE) / VLOOKUP("industry|PM25|Asthma symptoms wheeze", US_national_yearly!$D:$AM, 10, FALSE), 1)</f>
        <v>7.8968397470100468E-2</v>
      </c>
      <c r="V8" s="7">
        <f>$B8 * IFERROR(VLOOKUP("industry|PM25|Asthma symptoms wheeze", US_national_yearly!$D:$AM, 30, FALSE) / VLOOKUP("industry|PM25|Asthma symptoms wheeze", US_national_yearly!$D:$AM, 10, FALSE), 1)</f>
        <v>7.8968397470100468E-2</v>
      </c>
      <c r="W8" s="7">
        <f>$B8 * IFERROR(VLOOKUP("industry|PM25|Asthma symptoms wheeze", US_national_yearly!$D:$AM, 31, FALSE) / VLOOKUP("industry|PM25|Asthma symptoms wheeze", US_national_yearly!$D:$AM, 10, FALSE), 1)</f>
        <v>7.8968397470100468E-2</v>
      </c>
      <c r="X8" s="7">
        <f>$B8 * IFERROR(VLOOKUP("industry|PM25|Asthma symptoms wheeze", US_national_yearly!$D:$AM, 32, FALSE) / VLOOKUP("industry|PM25|Asthma symptoms wheeze", US_national_yearly!$D:$AM, 10, FALSE), 1)</f>
        <v>7.8968397470100468E-2</v>
      </c>
      <c r="Y8" s="7">
        <f>$B8 * IFERROR(VLOOKUP("industry|PM25|Asthma symptoms wheeze", US_national_yearly!$D:$AM, 33, FALSE) / VLOOKUP("industry|PM25|Asthma symptoms wheeze", US_national_yearly!$D:$AM, 10, FALSE), 1)</f>
        <v>7.8968397470100468E-2</v>
      </c>
      <c r="Z8" s="7">
        <f>$B8 * IFERROR(VLOOKUP("industry|PM25|Asthma symptoms wheeze", US_national_yearly!$D:$AM, 34, FALSE) / VLOOKUP("industry|PM25|Asthma symptoms wheeze", US_national_yearly!$D:$AM, 10, FALSE), 1)</f>
        <v>7.8968397470100468E-2</v>
      </c>
      <c r="AA8" s="7">
        <f>$B8 * IFERROR(VLOOKUP("industry|PM25|Asthma symptoms wheeze", US_national_yearly!$D:$AM, 35, FALSE) / VLOOKUP("industry|PM25|Asthma symptoms wheeze", US_national_yearly!$D:$AM, 10, FALSE), 1)</f>
        <v>7.8968397470100468E-2</v>
      </c>
      <c r="AB8" s="7">
        <f>$B8 * IFERROR(VLOOKUP("industry|PM25|Asthma symptoms wheeze", US_national_yearly!$D:$AM, 36, FALSE) / VLOOKUP("industry|PM25|Asthma symptoms wheeze", US_national_yearly!$D:$AM, 10, FALSE), 1)</f>
        <v>7.8968397470100468E-2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1.1336156609162338E-3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1.1400518359954471E-3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1.1464880110746605E-3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1.1529241861538738E-3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1.1593603612330874E-3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1.1663190804964152E-3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1.1732777997597429E-3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1.1798790204327763E-3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1.1864802411058098E-3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1.1930814617788432E-3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1.1996826824518766E-3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1.20628390312491E-3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1.2109527615910419E-3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1.2156216200571736E-3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1.2202904785233056E-3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1.2249593369894373E-3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1.2296281954555692E-3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1.2340317544312766E-3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1.2384353134069839E-3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1.2428388723826917E-3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1.2472424313583991E-3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1.2516459903341066E-3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1.2558859774108157E-3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1.2601259644875245E-3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1.2643659515642336E-3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1.2686059386409429E-3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1.2728459257176517E-3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7.0183984569547834E-3</v>
      </c>
      <c r="C13" s="7">
        <f>$B13 * IFERROR(VLOOKUP("industry|PM25|Non-fatal heart attacks", US_national_yearly!$D:$AM, 11, FALSE) / VLOOKUP("industry|PM25|Non-fatal heart attacks", US_national_yearly!$D:$AM, 10, FALSE), 1)</f>
        <v>7.222705876302307E-3</v>
      </c>
      <c r="D13" s="7">
        <f>$B13 * IFERROR(VLOOKUP("industry|PM25|Non-fatal heart attacks", US_national_yearly!$D:$AM, 12, FALSE) / VLOOKUP("industry|PM25|Non-fatal heart attacks", US_national_yearly!$D:$AM, 10, FALSE), 1)</f>
        <v>7.4270132956498298E-3</v>
      </c>
      <c r="E13" s="7">
        <f>$B13 * IFERROR(VLOOKUP("industry|PM25|Non-fatal heart attacks", US_national_yearly!$D:$AM, 13, FALSE) / VLOOKUP("industry|PM25|Non-fatal heart attacks", US_national_yearly!$D:$AM, 10, FALSE), 1)</f>
        <v>7.6313207149973535E-3</v>
      </c>
      <c r="F13" s="7">
        <f>$B13 * IFERROR(VLOOKUP("industry|PM25|Non-fatal heart attacks", US_national_yearly!$D:$AM, 14, FALSE) / VLOOKUP("industry|PM25|Non-fatal heart attacks", US_national_yearly!$D:$AM, 10, FALSE), 1)</f>
        <v>7.835628134344878E-3</v>
      </c>
      <c r="G13" s="7">
        <f>$B13 * IFERROR(VLOOKUP("industry|PM25|Non-fatal heart attacks", US_national_yearly!$D:$AM, 15, FALSE) / VLOOKUP("industry|PM25|Non-fatal heart attacks", US_national_yearly!$D:$AM, 10, FALSE), 1)</f>
        <v>8.028508703723158E-3</v>
      </c>
      <c r="H13" s="7">
        <f>$B13 * IFERROR(VLOOKUP("industry|PM25|Non-fatal heart attacks", US_national_yearly!$D:$AM, 16, FALSE) / VLOOKUP("industry|PM25|Non-fatal heart attacks", US_national_yearly!$D:$AM, 10, FALSE), 1)</f>
        <v>8.2213892731014416E-3</v>
      </c>
      <c r="I13" s="7">
        <f>$B13 * IFERROR(VLOOKUP("industry|PM25|Non-fatal heart attacks", US_national_yearly!$D:$AM, 17, FALSE) / VLOOKUP("industry|PM25|Non-fatal heart attacks", US_national_yearly!$D:$AM, 10, FALSE), 1)</f>
        <v>8.3771421141712789E-3</v>
      </c>
      <c r="J13" s="7">
        <f>$B13 * IFERROR(VLOOKUP("industry|PM25|Non-fatal heart attacks", US_national_yearly!$D:$AM, 18, FALSE) / VLOOKUP("industry|PM25|Non-fatal heart attacks", US_national_yearly!$D:$AM, 10, FALSE), 1)</f>
        <v>8.5328949552411163E-3</v>
      </c>
      <c r="K13" s="7">
        <f>$B13 * IFERROR(VLOOKUP("industry|PM25|Non-fatal heart attacks", US_national_yearly!$D:$AM, 19, FALSE) / VLOOKUP("industry|PM25|Non-fatal heart attacks", US_national_yearly!$D:$AM, 10, FALSE), 1)</f>
        <v>8.6886477963109537E-3</v>
      </c>
      <c r="L13" s="7">
        <f>$B13 * IFERROR(VLOOKUP("industry|PM25|Non-fatal heart attacks", US_national_yearly!$D:$AM, 20, FALSE) / VLOOKUP("industry|PM25|Non-fatal heart attacks", US_national_yearly!$D:$AM, 10, FALSE), 1)</f>
        <v>8.8444006373807893E-3</v>
      </c>
      <c r="M13" s="7">
        <f>$B13 * IFERROR(VLOOKUP("industry|PM25|Non-fatal heart attacks", US_national_yearly!$D:$AM, 21, FALSE) / VLOOKUP("industry|PM25|Non-fatal heart attacks", US_national_yearly!$D:$AM, 10, FALSE), 1)</f>
        <v>9.0001534784506267E-3</v>
      </c>
      <c r="N13" s="7">
        <f>$B13 * IFERROR(VLOOKUP("industry|PM25|Non-fatal heart attacks", US_national_yearly!$D:$AM, 22, FALSE) / VLOOKUP("industry|PM25|Non-fatal heart attacks", US_national_yearly!$D:$AM, 10, FALSE), 1)</f>
        <v>9.1008563642222279E-3</v>
      </c>
      <c r="O13" s="7">
        <f>$B13 * IFERROR(VLOOKUP("industry|PM25|Non-fatal heart attacks", US_national_yearly!$D:$AM, 23, FALSE) / VLOOKUP("industry|PM25|Non-fatal heart attacks", US_national_yearly!$D:$AM, 10, FALSE), 1)</f>
        <v>9.201559249993831E-3</v>
      </c>
      <c r="P13" s="7">
        <f>$B13 * IFERROR(VLOOKUP("industry|PM25|Non-fatal heart attacks", US_national_yearly!$D:$AM, 24, FALSE) / VLOOKUP("industry|PM25|Non-fatal heart attacks", US_national_yearly!$D:$AM, 10, FALSE), 1)</f>
        <v>9.3022621357654323E-3</v>
      </c>
      <c r="Q13" s="7">
        <f>$B13 * IFERROR(VLOOKUP("industry|PM25|Non-fatal heart attacks", US_national_yearly!$D:$AM, 25, FALSE) / VLOOKUP("industry|PM25|Non-fatal heart attacks", US_national_yearly!$D:$AM, 10, FALSE), 1)</f>
        <v>9.4029650215370335E-3</v>
      </c>
      <c r="R13" s="7">
        <f>$B13 * IFERROR(VLOOKUP("industry|PM25|Non-fatal heart attacks", US_national_yearly!$D:$AM, 26, FALSE) / VLOOKUP("industry|PM25|Non-fatal heart attacks", US_national_yearly!$D:$AM, 10, FALSE), 1)</f>
        <v>9.5036679073086366E-3</v>
      </c>
      <c r="S13" s="7">
        <f>$B13 * IFERROR(VLOOKUP("industry|PM25|Non-fatal heart attacks", US_national_yearly!$D:$AM, 27, FALSE) / VLOOKUP("industry|PM25|Non-fatal heart attacks", US_national_yearly!$D:$AM, 10, FALSE), 1)</f>
        <v>9.5574537002278658E-3</v>
      </c>
      <c r="T13" s="7">
        <f>$B13 * IFERROR(VLOOKUP("industry|PM25|Non-fatal heart attacks", US_national_yearly!$D:$AM, 28, FALSE) / VLOOKUP("industry|PM25|Non-fatal heart attacks", US_national_yearly!$D:$AM, 10, FALSE), 1)</f>
        <v>9.6112394931470984E-3</v>
      </c>
      <c r="U13" s="7">
        <f>$B13 * IFERROR(VLOOKUP("industry|PM25|Non-fatal heart attacks", US_national_yearly!$D:$AM, 29, FALSE) / VLOOKUP("industry|PM25|Non-fatal heart attacks", US_national_yearly!$D:$AM, 10, FALSE), 1)</f>
        <v>9.665025286066331E-3</v>
      </c>
      <c r="V13" s="7">
        <f>$B13 * IFERROR(VLOOKUP("industry|PM25|Non-fatal heart attacks", US_national_yearly!$D:$AM, 30, FALSE) / VLOOKUP("industry|PM25|Non-fatal heart attacks", US_national_yearly!$D:$AM, 10, FALSE), 1)</f>
        <v>9.7188110789855602E-3</v>
      </c>
      <c r="W13" s="7">
        <f>$B13 * IFERROR(VLOOKUP("industry|PM25|Non-fatal heart attacks", US_national_yearly!$D:$AM, 31, FALSE) / VLOOKUP("industry|PM25|Non-fatal heart attacks", US_national_yearly!$D:$AM, 10, FALSE), 1)</f>
        <v>9.7725968719047929E-3</v>
      </c>
      <c r="X13" s="7">
        <f>$B13 * IFERROR(VLOOKUP("industry|PM25|Non-fatal heart attacks", US_national_yearly!$D:$AM, 32, FALSE) / VLOOKUP("industry|PM25|Non-fatal heart attacks", US_national_yearly!$D:$AM, 10, FALSE), 1)</f>
        <v>9.8141083997899826E-3</v>
      </c>
      <c r="Y13" s="7">
        <f>$B13 * IFERROR(VLOOKUP("industry|PM25|Non-fatal heart attacks", US_national_yearly!$D:$AM, 33, FALSE) / VLOOKUP("industry|PM25|Non-fatal heart attacks", US_national_yearly!$D:$AM, 10, FALSE), 1)</f>
        <v>9.8556199276751688E-3</v>
      </c>
      <c r="Z13" s="7">
        <f>$B13 * IFERROR(VLOOKUP("industry|PM25|Non-fatal heart attacks", US_national_yearly!$D:$AM, 34, FALSE) / VLOOKUP("industry|PM25|Non-fatal heart attacks", US_national_yearly!$D:$AM, 10, FALSE), 1)</f>
        <v>9.8971314555603585E-3</v>
      </c>
      <c r="AA13" s="7">
        <f>$B13 * IFERROR(VLOOKUP("industry|PM25|Non-fatal heart attacks", US_national_yearly!$D:$AM, 35, FALSE) / VLOOKUP("industry|PM25|Non-fatal heart attacks", US_national_yearly!$D:$AM, 10, FALSE), 1)</f>
        <v>9.9386429834455465E-3</v>
      </c>
      <c r="AB13" s="7">
        <f>$B13 * IFERROR(VLOOKUP("industry|PM25|Non-fatal heart attacks", US_national_yearly!$D:$AM, 36, FALSE) / VLOOKUP("industry|PM25|Non-fatal heart attacks", US_national_yearly!$D:$AM, 10, FALSE), 1)</f>
        <v>9.9801545113307345E-3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5.0010008448529817</v>
      </c>
      <c r="C14" s="7">
        <f>$B14 * IFERROR(VLOOKUP("industry|PM25|Minor restricted activity days", US_national_yearly!$D:$AM, 11, FALSE) / VLOOKUP("industry|PM25|Minor restricted activity days", US_national_yearly!$D:$AM, 10, FALSE), 1)</f>
        <v>5.013249124866836</v>
      </c>
      <c r="D14" s="7">
        <f>$B14 * IFERROR(VLOOKUP("industry|PM25|Minor restricted activity days", US_national_yearly!$D:$AM, 12, FALSE) / VLOOKUP("industry|PM25|Minor restricted activity days", US_national_yearly!$D:$AM, 10, FALSE), 1)</f>
        <v>5.0254974048806922</v>
      </c>
      <c r="E14" s="7">
        <f>$B14 * IFERROR(VLOOKUP("industry|PM25|Minor restricted activity days", US_national_yearly!$D:$AM, 13, FALSE) / VLOOKUP("industry|PM25|Minor restricted activity days", US_national_yearly!$D:$AM, 10, FALSE), 1)</f>
        <v>5.0377456848945474</v>
      </c>
      <c r="F14" s="7">
        <f>$B14 * IFERROR(VLOOKUP("industry|PM25|Minor restricted activity days", US_national_yearly!$D:$AM, 14, FALSE) / VLOOKUP("industry|PM25|Minor restricted activity days", US_national_yearly!$D:$AM, 10, FALSE), 1)</f>
        <v>5.0499939649084018</v>
      </c>
      <c r="G14" s="7">
        <f>$B14 * IFERROR(VLOOKUP("industry|PM25|Minor restricted activity days", US_national_yearly!$D:$AM, 15, FALSE) / VLOOKUP("industry|PM25|Minor restricted activity days", US_national_yearly!$D:$AM, 10, FALSE), 1)</f>
        <v>5.0679724492720943</v>
      </c>
      <c r="H14" s="7">
        <f>$B14 * IFERROR(VLOOKUP("industry|PM25|Minor restricted activity days", US_national_yearly!$D:$AM, 16, FALSE) / VLOOKUP("industry|PM25|Minor restricted activity days", US_national_yearly!$D:$AM, 10, FALSE), 1)</f>
        <v>5.0859509336357869</v>
      </c>
      <c r="I14" s="7">
        <f>$B14 * IFERROR(VLOOKUP("industry|PM25|Minor restricted activity days", US_national_yearly!$D:$AM, 17, FALSE) / VLOOKUP("industry|PM25|Minor restricted activity days", US_national_yearly!$D:$AM, 10, FALSE), 1)</f>
        <v>5.1164917558085419</v>
      </c>
      <c r="J14" s="7">
        <f>$B14 * IFERROR(VLOOKUP("industry|PM25|Minor restricted activity days", US_national_yearly!$D:$AM, 18, FALSE) / VLOOKUP("industry|PM25|Minor restricted activity days", US_national_yearly!$D:$AM, 10, FALSE), 1)</f>
        <v>5.1470325779812978</v>
      </c>
      <c r="K14" s="7">
        <f>$B14 * IFERROR(VLOOKUP("industry|PM25|Minor restricted activity days", US_national_yearly!$D:$AM, 19, FALSE) / VLOOKUP("industry|PM25|Minor restricted activity days", US_national_yearly!$D:$AM, 10, FALSE), 1)</f>
        <v>5.1775734001540519</v>
      </c>
      <c r="L14" s="7">
        <f>$B14 * IFERROR(VLOOKUP("industry|PM25|Minor restricted activity days", US_national_yearly!$D:$AM, 20, FALSE) / VLOOKUP("industry|PM25|Minor restricted activity days", US_national_yearly!$D:$AM, 10, FALSE), 1)</f>
        <v>5.2081142223268069</v>
      </c>
      <c r="M14" s="7">
        <f>$B14 * IFERROR(VLOOKUP("industry|PM25|Minor restricted activity days", US_national_yearly!$D:$AM, 21, FALSE) / VLOOKUP("industry|PM25|Minor restricted activity days", US_national_yearly!$D:$AM, 10, FALSE), 1)</f>
        <v>5.2386550444995619</v>
      </c>
      <c r="N14" s="7">
        <f>$B14 * IFERROR(VLOOKUP("industry|PM25|Minor restricted activity days", US_national_yearly!$D:$AM, 22, FALSE) / VLOOKUP("industry|PM25|Minor restricted activity days", US_national_yearly!$D:$AM, 10, FALSE), 1)</f>
        <v>5.2803768232167352</v>
      </c>
      <c r="O14" s="7">
        <f>$B14 * IFERROR(VLOOKUP("industry|PM25|Minor restricted activity days", US_national_yearly!$D:$AM, 23, FALSE) / VLOOKUP("industry|PM25|Minor restricted activity days", US_national_yearly!$D:$AM, 10, FALSE), 1)</f>
        <v>5.3220986019339129</v>
      </c>
      <c r="P14" s="7">
        <f>$B14 * IFERROR(VLOOKUP("industry|PM25|Minor restricted activity days", US_national_yearly!$D:$AM, 24, FALSE) / VLOOKUP("industry|PM25|Minor restricted activity days", US_national_yearly!$D:$AM, 10, FALSE), 1)</f>
        <v>5.3638203806510854</v>
      </c>
      <c r="Q14" s="7">
        <f>$B14 * IFERROR(VLOOKUP("industry|PM25|Minor restricted activity days", US_national_yearly!$D:$AM, 25, FALSE) / VLOOKUP("industry|PM25|Minor restricted activity days", US_national_yearly!$D:$AM, 10, FALSE), 1)</f>
        <v>5.405542159368264</v>
      </c>
      <c r="R14" s="7">
        <f>$B14 * IFERROR(VLOOKUP("industry|PM25|Minor restricted activity days", US_national_yearly!$D:$AM, 26, FALSE) / VLOOKUP("industry|PM25|Minor restricted activity days", US_national_yearly!$D:$AM, 10, FALSE), 1)</f>
        <v>5.4472639380854373</v>
      </c>
      <c r="S14" s="7">
        <f>$B14 * IFERROR(VLOOKUP("industry|PM25|Minor restricted activity days", US_national_yearly!$D:$AM, 27, FALSE) / VLOOKUP("industry|PM25|Minor restricted activity days", US_national_yearly!$D:$AM, 10, FALSE), 1)</f>
        <v>5.4893862621955591</v>
      </c>
      <c r="T14" s="7">
        <f>$B14 * IFERROR(VLOOKUP("industry|PM25|Minor restricted activity days", US_national_yearly!$D:$AM, 28, FALSE) / VLOOKUP("industry|PM25|Minor restricted activity days", US_national_yearly!$D:$AM, 10, FALSE), 1)</f>
        <v>5.5315085863056819</v>
      </c>
      <c r="U14" s="7">
        <f>$B14 * IFERROR(VLOOKUP("industry|PM25|Minor restricted activity days", US_national_yearly!$D:$AM, 29, FALSE) / VLOOKUP("industry|PM25|Minor restricted activity days", US_national_yearly!$D:$AM, 10, FALSE), 1)</f>
        <v>5.5736309104158037</v>
      </c>
      <c r="V14" s="7">
        <f>$B14 * IFERROR(VLOOKUP("industry|PM25|Minor restricted activity days", US_national_yearly!$D:$AM, 30, FALSE) / VLOOKUP("industry|PM25|Minor restricted activity days", US_national_yearly!$D:$AM, 10, FALSE), 1)</f>
        <v>5.6157532345259247</v>
      </c>
      <c r="W14" s="7">
        <f>$B14 * IFERROR(VLOOKUP("industry|PM25|Minor restricted activity days", US_national_yearly!$D:$AM, 31, FALSE) / VLOOKUP("industry|PM25|Minor restricted activity days", US_national_yearly!$D:$AM, 10, FALSE), 1)</f>
        <v>5.6578755586360474</v>
      </c>
      <c r="X14" s="7">
        <f>$B14 * IFERROR(VLOOKUP("industry|PM25|Minor restricted activity days", US_national_yearly!$D:$AM, 32, FALSE) / VLOOKUP("industry|PM25|Minor restricted activity days", US_national_yearly!$D:$AM, 10, FALSE), 1)</f>
        <v>5.6944783156427423</v>
      </c>
      <c r="Y14" s="7">
        <f>$B14 * IFERROR(VLOOKUP("industry|PM25|Minor restricted activity days", US_national_yearly!$D:$AM, 33, FALSE) / VLOOKUP("industry|PM25|Minor restricted activity days", US_national_yearly!$D:$AM, 10, FALSE), 1)</f>
        <v>5.731081072649439</v>
      </c>
      <c r="Z14" s="7">
        <f>$B14 * IFERROR(VLOOKUP("industry|PM25|Minor restricted activity days", US_national_yearly!$D:$AM, 34, FALSE) / VLOOKUP("industry|PM25|Minor restricted activity days", US_national_yearly!$D:$AM, 10, FALSE), 1)</f>
        <v>5.7676838296561348</v>
      </c>
      <c r="AA14" s="7">
        <f>$B14 * IFERROR(VLOOKUP("industry|PM25|Minor restricted activity days", US_national_yearly!$D:$AM, 35, FALSE) / VLOOKUP("industry|PM25|Minor restricted activity days", US_national_yearly!$D:$AM, 10, FALSE), 1)</f>
        <v>5.8042865866628306</v>
      </c>
      <c r="AB14" s="7">
        <f>$B14 * IFERROR(VLOOKUP("industry|PM25|Minor restricted activity days", US_national_yearly!$D:$AM, 36, FALSE) / VLOOKUP("industry|PM25|Minor restricted activity days", US_national_yearly!$D:$AM, 10, FALSE), 1)</f>
        <v>5.8408893436695264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0.84896286447827762</v>
      </c>
      <c r="C15" s="7">
        <f>$B15 * IFERROR(VLOOKUP("industry|PM25|Work loss days", US_national_yearly!$D:$AM, 11, FALSE) / VLOOKUP("industry|PM25|Work loss days", US_national_yearly!$D:$AM, 10, FALSE), 1)</f>
        <v>0.85159499021633922</v>
      </c>
      <c r="D15" s="7">
        <f>$B15 * IFERROR(VLOOKUP("industry|PM25|Work loss days", US_national_yearly!$D:$AM, 12, FALSE) / VLOOKUP("industry|PM25|Work loss days", US_national_yearly!$D:$AM, 10, FALSE), 1)</f>
        <v>0.85422711595440093</v>
      </c>
      <c r="E15" s="7">
        <f>$B15 * IFERROR(VLOOKUP("industry|PM25|Work loss days", US_national_yearly!$D:$AM, 13, FALSE) / VLOOKUP("industry|PM25|Work loss days", US_national_yearly!$D:$AM, 10, FALSE), 1)</f>
        <v>0.8568592416924623</v>
      </c>
      <c r="F15" s="7">
        <f>$B15 * IFERROR(VLOOKUP("industry|PM25|Work loss days", US_national_yearly!$D:$AM, 14, FALSE) / VLOOKUP("industry|PM25|Work loss days", US_national_yearly!$D:$AM, 10, FALSE), 1)</f>
        <v>0.8594913674305239</v>
      </c>
      <c r="G15" s="7">
        <f>$B15 * IFERROR(VLOOKUP("industry|PM25|Work loss days", US_national_yearly!$D:$AM, 15, FALSE) / VLOOKUP("industry|PM25|Work loss days", US_national_yearly!$D:$AM, 10, FALSE), 1)</f>
        <v>0.8629277228287725</v>
      </c>
      <c r="H15" s="7">
        <f>$B15 * IFERROR(VLOOKUP("industry|PM25|Work loss days", US_national_yearly!$D:$AM, 16, FALSE) / VLOOKUP("industry|PM25|Work loss days", US_national_yearly!$D:$AM, 10, FALSE), 1)</f>
        <v>0.866364078227021</v>
      </c>
      <c r="I15" s="7">
        <f>$B15 * IFERROR(VLOOKUP("industry|PM25|Work loss days", US_national_yearly!$D:$AM, 17, FALSE) / VLOOKUP("industry|PM25|Work loss days", US_national_yearly!$D:$AM, 10, FALSE), 1)</f>
        <v>0.8713959961976433</v>
      </c>
      <c r="J15" s="7">
        <f>$B15 * IFERROR(VLOOKUP("industry|PM25|Work loss days", US_national_yearly!$D:$AM, 18, FALSE) / VLOOKUP("industry|PM25|Work loss days", US_national_yearly!$D:$AM, 10, FALSE), 1)</f>
        <v>0.8764279141682656</v>
      </c>
      <c r="K15" s="7">
        <f>$B15 * IFERROR(VLOOKUP("industry|PM25|Work loss days", US_national_yearly!$D:$AM, 19, FALSE) / VLOOKUP("industry|PM25|Work loss days", US_national_yearly!$D:$AM, 10, FALSE), 1)</f>
        <v>0.88145983213888768</v>
      </c>
      <c r="L15" s="7">
        <f>$B15 * IFERROR(VLOOKUP("industry|PM25|Work loss days", US_national_yearly!$D:$AM, 20, FALSE) / VLOOKUP("industry|PM25|Work loss days", US_national_yearly!$D:$AM, 10, FALSE), 1)</f>
        <v>0.88649175010950987</v>
      </c>
      <c r="M15" s="7">
        <f>$B15 * IFERROR(VLOOKUP("industry|PM25|Work loss days", US_national_yearly!$D:$AM, 21, FALSE) / VLOOKUP("industry|PM25|Work loss days", US_national_yearly!$D:$AM, 10, FALSE), 1)</f>
        <v>0.89152366808013217</v>
      </c>
      <c r="N15" s="7">
        <f>$B15 * IFERROR(VLOOKUP("industry|PM25|Work loss days", US_national_yearly!$D:$AM, 22, FALSE) / VLOOKUP("industry|PM25|Work loss days", US_national_yearly!$D:$AM, 10, FALSE), 1)</f>
        <v>0.89787328808014155</v>
      </c>
      <c r="O15" s="7">
        <f>$B15 * IFERROR(VLOOKUP("industry|PM25|Work loss days", US_national_yearly!$D:$AM, 23, FALSE) / VLOOKUP("industry|PM25|Work loss days", US_national_yearly!$D:$AM, 10, FALSE), 1)</f>
        <v>0.90422290808015093</v>
      </c>
      <c r="P15" s="7">
        <f>$B15 * IFERROR(VLOOKUP("industry|PM25|Work loss days", US_national_yearly!$D:$AM, 24, FALSE) / VLOOKUP("industry|PM25|Work loss days", US_national_yearly!$D:$AM, 10, FALSE), 1)</f>
        <v>0.9105725280801602</v>
      </c>
      <c r="Q15" s="7">
        <f>$B15 * IFERROR(VLOOKUP("industry|PM25|Work loss days", US_national_yearly!$D:$AM, 25, FALSE) / VLOOKUP("industry|PM25|Work loss days", US_national_yearly!$D:$AM, 10, FALSE), 1)</f>
        <v>0.91692214808016959</v>
      </c>
      <c r="R15" s="7">
        <f>$B15 * IFERROR(VLOOKUP("industry|PM25|Work loss days", US_national_yearly!$D:$AM, 26, FALSE) / VLOOKUP("industry|PM25|Work loss days", US_national_yearly!$D:$AM, 10, FALSE), 1)</f>
        <v>0.92327176808017875</v>
      </c>
      <c r="S15" s="7">
        <f>$B15 * IFERROR(VLOOKUP("industry|PM25|Work loss days", US_national_yearly!$D:$AM, 27, FALSE) / VLOOKUP("industry|PM25|Work loss days", US_national_yearly!$D:$AM, 10, FALSE), 1)</f>
        <v>0.93031259648424203</v>
      </c>
      <c r="T15" s="7">
        <f>$B15 * IFERROR(VLOOKUP("industry|PM25|Work loss days", US_national_yearly!$D:$AM, 28, FALSE) / VLOOKUP("industry|PM25|Work loss days", US_national_yearly!$D:$AM, 10, FALSE), 1)</f>
        <v>0.93735342488830509</v>
      </c>
      <c r="U15" s="7">
        <f>$B15 * IFERROR(VLOOKUP("industry|PM25|Work loss days", US_national_yearly!$D:$AM, 29, FALSE) / VLOOKUP("industry|PM25|Work loss days", US_national_yearly!$D:$AM, 10, FALSE), 1)</f>
        <v>0.94439425329236826</v>
      </c>
      <c r="V15" s="7">
        <f>$B15 * IFERROR(VLOOKUP("industry|PM25|Work loss days", US_national_yearly!$D:$AM, 30, FALSE) / VLOOKUP("industry|PM25|Work loss days", US_national_yearly!$D:$AM, 10, FALSE), 1)</f>
        <v>0.95143508169643132</v>
      </c>
      <c r="W15" s="7">
        <f>$B15 * IFERROR(VLOOKUP("industry|PM25|Work loss days", US_national_yearly!$D:$AM, 31, FALSE) / VLOOKUP("industry|PM25|Work loss days", US_national_yearly!$D:$AM, 10, FALSE), 1)</f>
        <v>0.9584759101004946</v>
      </c>
      <c r="X15" s="7">
        <f>$B15 * IFERROR(VLOOKUP("industry|PM25|Work loss days", US_national_yearly!$D:$AM, 32, FALSE) / VLOOKUP("industry|PM25|Work loss days", US_national_yearly!$D:$AM, 10, FALSE), 1)</f>
        <v>0.96473261193630333</v>
      </c>
      <c r="Y15" s="7">
        <f>$B15 * IFERROR(VLOOKUP("industry|PM25|Work loss days", US_national_yearly!$D:$AM, 33, FALSE) / VLOOKUP("industry|PM25|Work loss days", US_national_yearly!$D:$AM, 10, FALSE), 1)</f>
        <v>0.97098931377211228</v>
      </c>
      <c r="Z15" s="7">
        <f>$B15 * IFERROR(VLOOKUP("industry|PM25|Work loss days", US_national_yearly!$D:$AM, 34, FALSE) / VLOOKUP("industry|PM25|Work loss days", US_national_yearly!$D:$AM, 10, FALSE), 1)</f>
        <v>0.97724601560792135</v>
      </c>
      <c r="AA15" s="7">
        <f>$B15 * IFERROR(VLOOKUP("industry|PM25|Work loss days", US_national_yearly!$D:$AM, 35, FALSE) / VLOOKUP("industry|PM25|Work loss days", US_national_yearly!$D:$AM, 10, FALSE), 1)</f>
        <v>0.98350271744373008</v>
      </c>
      <c r="AB15" s="7">
        <f>$B15 * IFERROR(VLOOKUP("industry|PM25|Work loss days", US_national_yearly!$D:$AM, 36, FALSE) / VLOOKUP("industry|PM25|Work loss days", US_national_yearly!$D:$AM, 10, FALSE), 1)</f>
        <v>0.98975941927953903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1.8151690789342981E-3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1.8694619498273476E-3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1.923754820720397E-3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1.9780476916134463E-3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2.0323405625064955E-3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2.0843763658971756E-3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2.1364121692878549E-3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2.181089466624282E-3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2.2257667639607082E-3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2.2704440612971357E-3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2.3151213586335624E-3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2.3597986559699895E-3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2.3896432590307373E-3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2.4194878620914843E-3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2.4493324651522316E-3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2.479177068212979E-3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2.5090216712737264E-3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2.5250116858459193E-3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2.5410017004181122E-3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2.5569917149903055E-3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2.5729817295624974E-3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2.5889717441346903E-3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2.5999520000891318E-3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2.6109322560435725E-3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2.6219125119980135E-3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2.6328927679524542E-3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2.6438730239068953E-3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2.2665324198737968E-4</v>
      </c>
      <c r="C2" s="7">
        <f>$B2 * IFERROR(VLOOKUP("industry|NOx|Premature mortality", US_national_yearly!$D:$AM, 11, FALSE) / VLOOKUP("industry|NOx|Premature mortality", US_national_yearly!$D:$AM, 10, FALSE), 1)</f>
        <v>2.3000470398504939E-4</v>
      </c>
      <c r="D2" s="7">
        <f>$B2 * IFERROR(VLOOKUP("industry|NOx|Premature mortality", US_national_yearly!$D:$AM, 12, FALSE) / VLOOKUP("industry|NOx|Premature mortality", US_national_yearly!$D:$AM, 10, FALSE), 1)</f>
        <v>2.3335616598271913E-4</v>
      </c>
      <c r="E2" s="7">
        <f>$B2 * IFERROR(VLOOKUP("industry|NOx|Premature mortality", US_national_yearly!$D:$AM, 13, FALSE) / VLOOKUP("industry|NOx|Premature mortality", US_national_yearly!$D:$AM, 10, FALSE), 1)</f>
        <v>2.3670762798038884E-4</v>
      </c>
      <c r="F2" s="7">
        <f>$B2 * IFERROR(VLOOKUP("industry|NOx|Premature mortality", US_national_yearly!$D:$AM, 14, FALSE) / VLOOKUP("industry|NOx|Premature mortality", US_national_yearly!$D:$AM, 10, FALSE), 1)</f>
        <v>2.400590899780586E-4</v>
      </c>
      <c r="G2" s="7">
        <f>$B2 * IFERROR(VLOOKUP("industry|NOx|Premature mortality", US_national_yearly!$D:$AM, 15, FALSE) / VLOOKUP("industry|NOx|Premature mortality", US_national_yearly!$D:$AM, 10, FALSE), 1)</f>
        <v>2.460695164037176E-4</v>
      </c>
      <c r="H2" s="7">
        <f>$B2 * IFERROR(VLOOKUP("industry|NOx|Premature mortality", US_national_yearly!$D:$AM, 16, FALSE) / VLOOKUP("industry|NOx|Premature mortality", US_national_yearly!$D:$AM, 10, FALSE), 1)</f>
        <v>2.5207994282937658E-4</v>
      </c>
      <c r="I2" s="7">
        <f>$B2 * IFERROR(VLOOKUP("industry|NOx|Premature mortality", US_national_yearly!$D:$AM, 17, FALSE) / VLOOKUP("industry|NOx|Premature mortality", US_national_yearly!$D:$AM, 10, FALSE), 1)</f>
        <v>2.5597910869340176E-4</v>
      </c>
      <c r="J2" s="7">
        <f>$B2 * IFERROR(VLOOKUP("industry|NOx|Premature mortality", US_national_yearly!$D:$AM, 18, FALSE) / VLOOKUP("industry|NOx|Premature mortality", US_national_yearly!$D:$AM, 10, FALSE), 1)</f>
        <v>2.5987827455742693E-4</v>
      </c>
      <c r="K2" s="7">
        <f>$B2 * IFERROR(VLOOKUP("industry|NOx|Premature mortality", US_national_yearly!$D:$AM, 19, FALSE) / VLOOKUP("industry|NOx|Premature mortality", US_national_yearly!$D:$AM, 10, FALSE), 1)</f>
        <v>2.6377744042145216E-4</v>
      </c>
      <c r="L2" s="7">
        <f>$B2 * IFERROR(VLOOKUP("industry|NOx|Premature mortality", US_national_yearly!$D:$AM, 20, FALSE) / VLOOKUP("industry|NOx|Premature mortality", US_national_yearly!$D:$AM, 10, FALSE), 1)</f>
        <v>2.6767660628547734E-4</v>
      </c>
      <c r="M2" s="7">
        <f>$B2 * IFERROR(VLOOKUP("industry|NOx|Premature mortality", US_national_yearly!$D:$AM, 21, FALSE) / VLOOKUP("industry|NOx|Premature mortality", US_national_yearly!$D:$AM, 10, FALSE), 1)</f>
        <v>2.7157577214950251E-4</v>
      </c>
      <c r="N2" s="7">
        <f>$B2 * IFERROR(VLOOKUP("industry|NOx|Premature mortality", US_national_yearly!$D:$AM, 22, FALSE) / VLOOKUP("industry|NOx|Premature mortality", US_national_yearly!$D:$AM, 10, FALSE), 1)</f>
        <v>2.7447726035623372E-4</v>
      </c>
      <c r="O2" s="7">
        <f>$B2 * IFERROR(VLOOKUP("industry|NOx|Premature mortality", US_national_yearly!$D:$AM, 23, FALSE) / VLOOKUP("industry|NOx|Premature mortality", US_national_yearly!$D:$AM, 10, FALSE), 1)</f>
        <v>2.7737874856296481E-4</v>
      </c>
      <c r="P2" s="7">
        <f>$B2 * IFERROR(VLOOKUP("industry|NOx|Premature mortality", US_national_yearly!$D:$AM, 24, FALSE) / VLOOKUP("industry|NOx|Premature mortality", US_national_yearly!$D:$AM, 10, FALSE), 1)</f>
        <v>2.8028023676969586E-4</v>
      </c>
      <c r="Q2" s="7">
        <f>$B2 * IFERROR(VLOOKUP("industry|NOx|Premature mortality", US_national_yearly!$D:$AM, 25, FALSE) / VLOOKUP("industry|NOx|Premature mortality", US_national_yearly!$D:$AM, 10, FALSE), 1)</f>
        <v>2.8318172497642701E-4</v>
      </c>
      <c r="R2" s="7">
        <f>$B2 * IFERROR(VLOOKUP("industry|NOx|Premature mortality", US_national_yearly!$D:$AM, 26, FALSE) / VLOOKUP("industry|NOx|Premature mortality", US_national_yearly!$D:$AM, 10, FALSE), 1)</f>
        <v>2.860832131831581E-4</v>
      </c>
      <c r="S2" s="7">
        <f>$B2 * IFERROR(VLOOKUP("industry|NOx|Premature mortality", US_national_yearly!$D:$AM, 27, FALSE) / VLOOKUP("industry|NOx|Premature mortality", US_national_yearly!$D:$AM, 10, FALSE), 1)</f>
        <v>2.8743432126800416E-4</v>
      </c>
      <c r="T2" s="7">
        <f>$B2 * IFERROR(VLOOKUP("industry|NOx|Premature mortality", US_national_yearly!$D:$AM, 28, FALSE) / VLOOKUP("industry|NOx|Premature mortality", US_national_yearly!$D:$AM, 10, FALSE), 1)</f>
        <v>2.8878542935285026E-4</v>
      </c>
      <c r="U2" s="7">
        <f>$B2 * IFERROR(VLOOKUP("industry|NOx|Premature mortality", US_national_yearly!$D:$AM, 29, FALSE) / VLOOKUP("industry|NOx|Premature mortality", US_national_yearly!$D:$AM, 10, FALSE), 1)</f>
        <v>2.9013653743769632E-4</v>
      </c>
      <c r="V2" s="7">
        <f>$B2 * IFERROR(VLOOKUP("industry|NOx|Premature mortality", US_national_yearly!$D:$AM, 30, FALSE) / VLOOKUP("industry|NOx|Premature mortality", US_national_yearly!$D:$AM, 10, FALSE), 1)</f>
        <v>2.9148764552254243E-4</v>
      </c>
      <c r="W2" s="7">
        <f>$B2 * IFERROR(VLOOKUP("industry|NOx|Premature mortality", US_national_yearly!$D:$AM, 31, FALSE) / VLOOKUP("industry|NOx|Premature mortality", US_national_yearly!$D:$AM, 10, FALSE), 1)</f>
        <v>2.9283875360738848E-4</v>
      </c>
      <c r="X2" s="7">
        <f>$B2 * IFERROR(VLOOKUP("industry|NOx|Premature mortality", US_national_yearly!$D:$AM, 32, FALSE) / VLOOKUP("industry|NOx|Premature mortality", US_national_yearly!$D:$AM, 10, FALSE), 1)</f>
        <v>2.9294200960831417E-4</v>
      </c>
      <c r="Y2" s="7">
        <f>$B2 * IFERROR(VLOOKUP("industry|NOx|Premature mortality", US_national_yearly!$D:$AM, 33, FALSE) / VLOOKUP("industry|NOx|Premature mortality", US_national_yearly!$D:$AM, 10, FALSE), 1)</f>
        <v>2.9304526560923992E-4</v>
      </c>
      <c r="Z2" s="7">
        <f>$B2 * IFERROR(VLOOKUP("industry|NOx|Premature mortality", US_national_yearly!$D:$AM, 34, FALSE) / VLOOKUP("industry|NOx|Premature mortality", US_national_yearly!$D:$AM, 10, FALSE), 1)</f>
        <v>2.9314852161016567E-4</v>
      </c>
      <c r="AA2" s="7">
        <f>$B2 * IFERROR(VLOOKUP("industry|NOx|Premature mortality", US_national_yearly!$D:$AM, 35, FALSE) / VLOOKUP("industry|NOx|Premature mortality", US_national_yearly!$D:$AM, 10, FALSE), 1)</f>
        <v>2.9325177761109142E-4</v>
      </c>
      <c r="AB2" s="7">
        <f>$B2 * IFERROR(VLOOKUP("industry|NOx|Premature mortality", US_national_yearly!$D:$AM, 36, FALSE) / VLOOKUP("industry|NOx|Premature mortality", US_national_yearly!$D:$AM, 10, FALSE), 1)</f>
        <v>2.9335503361201711E-4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6.6895582578659082E-7</v>
      </c>
      <c r="C3" s="7">
        <f>$B3 * IFERROR(VLOOKUP("industry|NOx|Infant mortality", US_national_yearly!$D:$AM, 11, FALSE) / VLOOKUP("industry|NOx|Infant mortality", US_national_yearly!$D:$AM, 10, FALSE), 1)</f>
        <v>6.6254934794809052E-7</v>
      </c>
      <c r="D3" s="7">
        <f>$B3 * IFERROR(VLOOKUP("industry|NOx|Infant mortality", US_national_yearly!$D:$AM, 12, FALSE) / VLOOKUP("industry|NOx|Infant mortality", US_national_yearly!$D:$AM, 10, FALSE), 1)</f>
        <v>6.5614287010959021E-7</v>
      </c>
      <c r="E3" s="7">
        <f>$B3 * IFERROR(VLOOKUP("industry|NOx|Infant mortality", US_national_yearly!$D:$AM, 13, FALSE) / VLOOKUP("industry|NOx|Infant mortality", US_national_yearly!$D:$AM, 10, FALSE), 1)</f>
        <v>6.4973639227108991E-7</v>
      </c>
      <c r="F3" s="7">
        <f>$B3 * IFERROR(VLOOKUP("industry|NOx|Infant mortality", US_national_yearly!$D:$AM, 14, FALSE) / VLOOKUP("industry|NOx|Infant mortality", US_national_yearly!$D:$AM, 10, FALSE), 1)</f>
        <v>6.4332991443258961E-7</v>
      </c>
      <c r="G3" s="7">
        <f>$B3 * IFERROR(VLOOKUP("industry|NOx|Infant mortality", US_national_yearly!$D:$AM, 15, FALSE) / VLOOKUP("industry|NOx|Infant mortality", US_national_yearly!$D:$AM, 10, FALSE), 1)</f>
        <v>4.2671316385050671E-7</v>
      </c>
      <c r="H3" s="7">
        <f>$B3 * IFERROR(VLOOKUP("industry|NOx|Infant mortality", US_national_yearly!$D:$AM, 16, FALSE) / VLOOKUP("industry|NOx|Infant mortality", US_national_yearly!$D:$AM, 10, FALSE), 1)</f>
        <v>2.1009641326842383E-7</v>
      </c>
      <c r="I3" s="7">
        <f>$B3 * IFERROR(VLOOKUP("industry|NOx|Infant mortality", US_national_yearly!$D:$AM, 17, FALSE) / VLOOKUP("industry|NOx|Infant mortality", US_national_yearly!$D:$AM, 10, FALSE), 1)</f>
        <v>2.0858170884062489E-7</v>
      </c>
      <c r="J3" s="7">
        <f>$B3 * IFERROR(VLOOKUP("industry|NOx|Infant mortality", US_national_yearly!$D:$AM, 18, FALSE) / VLOOKUP("industry|NOx|Infant mortality", US_national_yearly!$D:$AM, 10, FALSE), 1)</f>
        <v>2.0706700441282599E-7</v>
      </c>
      <c r="K3" s="7">
        <f>$B3 * IFERROR(VLOOKUP("industry|NOx|Infant mortality", US_national_yearly!$D:$AM, 19, FALSE) / VLOOKUP("industry|NOx|Infant mortality", US_national_yearly!$D:$AM, 10, FALSE), 1)</f>
        <v>2.0555229998502707E-7</v>
      </c>
      <c r="L3" s="7">
        <f>$B3 * IFERROR(VLOOKUP("industry|NOx|Infant mortality", US_national_yearly!$D:$AM, 20, FALSE) / VLOOKUP("industry|NOx|Infant mortality", US_national_yearly!$D:$AM, 10, FALSE), 1)</f>
        <v>2.0403759555722809E-7</v>
      </c>
      <c r="M3" s="7">
        <f>$B3 * IFERROR(VLOOKUP("industry|NOx|Infant mortality", US_national_yearly!$D:$AM, 21, FALSE) / VLOOKUP("industry|NOx|Infant mortality", US_national_yearly!$D:$AM, 10, FALSE), 1)</f>
        <v>2.0252289112942914E-7</v>
      </c>
      <c r="N3" s="7">
        <f>$B3 * IFERROR(VLOOKUP("industry|NOx|Infant mortality", US_national_yearly!$D:$AM, 22, FALSE) / VLOOKUP("industry|NOx|Infant mortality", US_national_yearly!$D:$AM, 10, FALSE), 1)</f>
        <v>2.015023516096927E-7</v>
      </c>
      <c r="O3" s="7">
        <f>$B3 * IFERROR(VLOOKUP("industry|NOx|Infant mortality", US_national_yearly!$D:$AM, 23, FALSE) / VLOOKUP("industry|NOx|Infant mortality", US_national_yearly!$D:$AM, 10, FALSE), 1)</f>
        <v>2.0048181208995624E-7</v>
      </c>
      <c r="P3" s="7">
        <f>$B3 * IFERROR(VLOOKUP("industry|NOx|Infant mortality", US_national_yearly!$D:$AM, 24, FALSE) / VLOOKUP("industry|NOx|Infant mortality", US_national_yearly!$D:$AM, 10, FALSE), 1)</f>
        <v>1.994612725702198E-7</v>
      </c>
      <c r="Q3" s="7">
        <f>$B3 * IFERROR(VLOOKUP("industry|NOx|Infant mortality", US_national_yearly!$D:$AM, 25, FALSE) / VLOOKUP("industry|NOx|Infant mortality", US_national_yearly!$D:$AM, 10, FALSE), 1)</f>
        <v>1.9844073305048338E-7</v>
      </c>
      <c r="R3" s="7">
        <f>$B3 * IFERROR(VLOOKUP("industry|NOx|Infant mortality", US_national_yearly!$D:$AM, 26, FALSE) / VLOOKUP("industry|NOx|Infant mortality", US_national_yearly!$D:$AM, 10, FALSE), 1)</f>
        <v>1.9742019353074694E-7</v>
      </c>
      <c r="S3" s="7">
        <f>$B3 * IFERROR(VLOOKUP("industry|NOx|Infant mortality", US_national_yearly!$D:$AM, 27, FALSE) / VLOOKUP("industry|NOx|Infant mortality", US_national_yearly!$D:$AM, 10, FALSE), 1)</f>
        <v>1.9620832109634262E-7</v>
      </c>
      <c r="T3" s="7">
        <f>$B3 * IFERROR(VLOOKUP("industry|NOx|Infant mortality", US_national_yearly!$D:$AM, 28, FALSE) / VLOOKUP("industry|NOx|Infant mortality", US_national_yearly!$D:$AM, 10, FALSE), 1)</f>
        <v>1.9499644866193829E-7</v>
      </c>
      <c r="U3" s="7">
        <f>$B3 * IFERROR(VLOOKUP("industry|NOx|Infant mortality", US_national_yearly!$D:$AM, 29, FALSE) / VLOOKUP("industry|NOx|Infant mortality", US_national_yearly!$D:$AM, 10, FALSE), 1)</f>
        <v>1.9378457622753397E-7</v>
      </c>
      <c r="V3" s="7">
        <f>$B3 * IFERROR(VLOOKUP("industry|NOx|Infant mortality", US_national_yearly!$D:$AM, 30, FALSE) / VLOOKUP("industry|NOx|Infant mortality", US_national_yearly!$D:$AM, 10, FALSE), 1)</f>
        <v>1.9257270379312964E-7</v>
      </c>
      <c r="W3" s="7">
        <f>$B3 * IFERROR(VLOOKUP("industry|NOx|Infant mortality", US_national_yearly!$D:$AM, 31, FALSE) / VLOOKUP("industry|NOx|Infant mortality", US_national_yearly!$D:$AM, 10, FALSE), 1)</f>
        <v>1.9136083135872537E-7</v>
      </c>
      <c r="X3" s="7">
        <f>$B3 * IFERROR(VLOOKUP("industry|NOx|Infant mortality", US_national_yearly!$D:$AM, 32, FALSE) / VLOOKUP("industry|NOx|Infant mortality", US_national_yearly!$D:$AM, 10, FALSE), 1)</f>
        <v>1.9008823111430344E-7</v>
      </c>
      <c r="Y3" s="7">
        <f>$B3 * IFERROR(VLOOKUP("industry|NOx|Infant mortality", US_national_yearly!$D:$AM, 33, FALSE) / VLOOKUP("industry|NOx|Infant mortality", US_national_yearly!$D:$AM, 10, FALSE), 1)</f>
        <v>1.8881563086988155E-7</v>
      </c>
      <c r="Z3" s="7">
        <f>$B3 * IFERROR(VLOOKUP("industry|NOx|Infant mortality", US_national_yearly!$D:$AM, 34, FALSE) / VLOOKUP("industry|NOx|Infant mortality", US_national_yearly!$D:$AM, 10, FALSE), 1)</f>
        <v>1.8754303062545964E-7</v>
      </c>
      <c r="AA3" s="7">
        <f>$B3 * IFERROR(VLOOKUP("industry|NOx|Infant mortality", US_national_yearly!$D:$AM, 35, FALSE) / VLOOKUP("industry|NOx|Infant mortality", US_national_yearly!$D:$AM, 10, FALSE), 1)</f>
        <v>1.8627043038103776E-7</v>
      </c>
      <c r="AB3" s="7">
        <f>$B3 * IFERROR(VLOOKUP("industry|NOx|Infant mortality", US_national_yearly!$D:$AM, 36, FALSE) / VLOOKUP("industry|NOx|Infant mortality", US_national_yearly!$D:$AM, 10, FALSE), 1)</f>
        <v>1.8499783013661585E-7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5.6840052596193573E-4</v>
      </c>
      <c r="C6" s="7">
        <f>$B6 * IFERROR(VLOOKUP("industry|NOx|Asthma symptoms cough", US_national_yearly!$D:$AM, 11, FALSE) / VLOOKUP("industry|NOx|Asthma symptoms cough", US_national_yearly!$D:$AM, 10, FALSE), 1)</f>
        <v>5.7617643802564448E-4</v>
      </c>
      <c r="D6" s="7">
        <f>$B6 * IFERROR(VLOOKUP("industry|NOx|Asthma symptoms cough", US_national_yearly!$D:$AM, 12, FALSE) / VLOOKUP("industry|NOx|Asthma symptoms cough", US_national_yearly!$D:$AM, 10, FALSE), 1)</f>
        <v>5.8395235008935334E-4</v>
      </c>
      <c r="E6" s="7">
        <f>$B6 * IFERROR(VLOOKUP("industry|NOx|Asthma symptoms cough", US_national_yearly!$D:$AM, 13, FALSE) / VLOOKUP("industry|NOx|Asthma symptoms cough", US_national_yearly!$D:$AM, 10, FALSE), 1)</f>
        <v>5.9172826215306209E-4</v>
      </c>
      <c r="F6" s="7">
        <f>$B6 * IFERROR(VLOOKUP("industry|NOx|Asthma symptoms cough", US_national_yearly!$D:$AM, 14, FALSE) / VLOOKUP("industry|NOx|Asthma symptoms cough", US_national_yearly!$D:$AM, 10, FALSE), 1)</f>
        <v>5.9950417421677094E-4</v>
      </c>
      <c r="G6" s="7">
        <f>$B6 * IFERROR(VLOOKUP("industry|NOx|Asthma symptoms cough", US_national_yearly!$D:$AM, 15, FALSE) / VLOOKUP("industry|NOx|Asthma symptoms cough", US_national_yearly!$D:$AM, 10, FALSE), 1)</f>
        <v>6.0573924935670715E-4</v>
      </c>
      <c r="H6" s="7">
        <f>$B6 * IFERROR(VLOOKUP("industry|NOx|Asthma symptoms cough", US_national_yearly!$D:$AM, 16, FALSE) / VLOOKUP("industry|NOx|Asthma symptoms cough", US_national_yearly!$D:$AM, 10, FALSE), 1)</f>
        <v>6.1197432449664358E-4</v>
      </c>
      <c r="I6" s="7">
        <f>$B6 * IFERROR(VLOOKUP("industry|NOx|Asthma symptoms cough", US_national_yearly!$D:$AM, 17, FALSE) / VLOOKUP("industry|NOx|Asthma symptoms cough", US_national_yearly!$D:$AM, 10, FALSE), 1)</f>
        <v>6.1414418591969962E-4</v>
      </c>
      <c r="J6" s="7">
        <f>$B6 * IFERROR(VLOOKUP("industry|NOx|Asthma symptoms cough", US_national_yearly!$D:$AM, 18, FALSE) / VLOOKUP("industry|NOx|Asthma symptoms cough", US_national_yearly!$D:$AM, 10, FALSE), 1)</f>
        <v>6.1631404734275577E-4</v>
      </c>
      <c r="K6" s="7">
        <f>$B6 * IFERROR(VLOOKUP("industry|NOx|Asthma symptoms cough", US_national_yearly!$D:$AM, 19, FALSE) / VLOOKUP("industry|NOx|Asthma symptoms cough", US_national_yearly!$D:$AM, 10, FALSE), 1)</f>
        <v>6.184839087658117E-4</v>
      </c>
      <c r="L6" s="7">
        <f>$B6 * IFERROR(VLOOKUP("industry|NOx|Asthma symptoms cough", US_national_yearly!$D:$AM, 20, FALSE) / VLOOKUP("industry|NOx|Asthma symptoms cough", US_national_yearly!$D:$AM, 10, FALSE), 1)</f>
        <v>6.2065377018886785E-4</v>
      </c>
      <c r="M6" s="7">
        <f>$B6 * IFERROR(VLOOKUP("industry|NOx|Asthma symptoms cough", US_national_yearly!$D:$AM, 21, FALSE) / VLOOKUP("industry|NOx|Asthma symptoms cough", US_national_yearly!$D:$AM, 10, FALSE), 1)</f>
        <v>6.22823631611924E-4</v>
      </c>
      <c r="N6" s="7">
        <f>$B6 * IFERROR(VLOOKUP("industry|NOx|Asthma symptoms cough", US_national_yearly!$D:$AM, 22, FALSE) / VLOOKUP("industry|NOx|Asthma symptoms cough", US_national_yearly!$D:$AM, 10, FALSE), 1)</f>
        <v>6.2530058766067952E-4</v>
      </c>
      <c r="O6" s="7">
        <f>$B6 * IFERROR(VLOOKUP("industry|NOx|Asthma symptoms cough", US_national_yearly!$D:$AM, 23, FALSE) / VLOOKUP("industry|NOx|Asthma symptoms cough", US_national_yearly!$D:$AM, 10, FALSE), 1)</f>
        <v>6.2777754370943494E-4</v>
      </c>
      <c r="P6" s="7">
        <f>$B6 * IFERROR(VLOOKUP("industry|NOx|Asthma symptoms cough", US_national_yearly!$D:$AM, 24, FALSE) / VLOOKUP("industry|NOx|Asthma symptoms cough", US_national_yearly!$D:$AM, 10, FALSE), 1)</f>
        <v>6.3025449975819047E-4</v>
      </c>
      <c r="Q6" s="7">
        <f>$B6 * IFERROR(VLOOKUP("industry|NOx|Asthma symptoms cough", US_national_yearly!$D:$AM, 25, FALSE) / VLOOKUP("industry|NOx|Asthma symptoms cough", US_national_yearly!$D:$AM, 10, FALSE), 1)</f>
        <v>6.327314558069461E-4</v>
      </c>
      <c r="R6" s="7">
        <f>$B6 * IFERROR(VLOOKUP("industry|NOx|Asthma symptoms cough", US_national_yearly!$D:$AM, 26, FALSE) / VLOOKUP("industry|NOx|Asthma symptoms cough", US_national_yearly!$D:$AM, 10, FALSE), 1)</f>
        <v>6.3520841185570162E-4</v>
      </c>
      <c r="S6" s="7">
        <f>$B6 * IFERROR(VLOOKUP("industry|NOx|Asthma symptoms cough", US_national_yearly!$D:$AM, 27, FALSE) / VLOOKUP("industry|NOx|Asthma symptoms cough", US_national_yearly!$D:$AM, 10, FALSE), 1)</f>
        <v>6.3840357556317531E-4</v>
      </c>
      <c r="T6" s="7">
        <f>$B6 * IFERROR(VLOOKUP("industry|NOx|Asthma symptoms cough", US_national_yearly!$D:$AM, 28, FALSE) / VLOOKUP("industry|NOx|Asthma symptoms cough", US_national_yearly!$D:$AM, 10, FALSE), 1)</f>
        <v>6.4159873927064899E-4</v>
      </c>
      <c r="U6" s="7">
        <f>$B6 * IFERROR(VLOOKUP("industry|NOx|Asthma symptoms cough", US_national_yearly!$D:$AM, 29, FALSE) / VLOOKUP("industry|NOx|Asthma symptoms cough", US_national_yearly!$D:$AM, 10, FALSE), 1)</f>
        <v>6.4479390297812267E-4</v>
      </c>
      <c r="V6" s="7">
        <f>$B6 * IFERROR(VLOOKUP("industry|NOx|Asthma symptoms cough", US_national_yearly!$D:$AM, 30, FALSE) / VLOOKUP("industry|NOx|Asthma symptoms cough", US_national_yearly!$D:$AM, 10, FALSE), 1)</f>
        <v>6.4798906668559625E-4</v>
      </c>
      <c r="W6" s="7">
        <f>$B6 * IFERROR(VLOOKUP("industry|NOx|Asthma symptoms cough", US_national_yearly!$D:$AM, 31, FALSE) / VLOOKUP("industry|NOx|Asthma symptoms cough", US_national_yearly!$D:$AM, 10, FALSE), 1)</f>
        <v>6.5118423039307015E-4</v>
      </c>
      <c r="X6" s="7">
        <f>$B6 * IFERROR(VLOOKUP("industry|NOx|Asthma symptoms cough", US_national_yearly!$D:$AM, 32, FALSE) / VLOOKUP("industry|NOx|Asthma symptoms cough", US_national_yearly!$D:$AM, 10, FALSE), 1)</f>
        <v>6.5414639285356997E-4</v>
      </c>
      <c r="Y6" s="7">
        <f>$B6 * IFERROR(VLOOKUP("industry|NOx|Asthma symptoms cough", US_national_yearly!$D:$AM, 33, FALSE) / VLOOKUP("industry|NOx|Asthma symptoms cough", US_national_yearly!$D:$AM, 10, FALSE), 1)</f>
        <v>6.5710855531406968E-4</v>
      </c>
      <c r="Z6" s="7">
        <f>$B6 * IFERROR(VLOOKUP("industry|NOx|Asthma symptoms cough", US_national_yearly!$D:$AM, 34, FALSE) / VLOOKUP("industry|NOx|Asthma symptoms cough", US_national_yearly!$D:$AM, 10, FALSE), 1)</f>
        <v>6.6007071777456961E-4</v>
      </c>
      <c r="AA6" s="7">
        <f>$B6 * IFERROR(VLOOKUP("industry|NOx|Asthma symptoms cough", US_national_yearly!$D:$AM, 35, FALSE) / VLOOKUP("industry|NOx|Asthma symptoms cough", US_national_yearly!$D:$AM, 10, FALSE), 1)</f>
        <v>6.6303288023506933E-4</v>
      </c>
      <c r="AB6" s="7">
        <f>$B6 * IFERROR(VLOOKUP("industry|NOx|Asthma symptoms cough", US_national_yearly!$D:$AM, 36, FALSE) / VLOOKUP("industry|NOx|Asthma symptoms cough", US_national_yearly!$D:$AM, 10, FALSE), 1)</f>
        <v>6.6599504269556915E-4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7.6543284318439538E-4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7.7590422418212827E-4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7.8637560517986116E-4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7.9684698617759416E-4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8.0731836717532715E-4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8.1571479021891595E-4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8.2411121326250475E-4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8.2703324288884242E-4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8.2995527251518008E-4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8.3287730214151774E-4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8.3579933176785573E-4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8.3872136139419339E-4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8.4205693798945205E-4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8.453925145847106E-4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8.4872809117996948E-4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8.5206366777522825E-4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8.5539924437048691E-4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8.5970199061018149E-4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8.6400473684987639E-4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8.6830748308957097E-4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8.7261022932926587E-4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8.7691297556896034E-4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8.8090195220362326E-4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8.8489092883828606E-4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8.8887990547294887E-4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8.9286888210761168E-4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8.9685785874227448E-4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1.1694550227628903E-3</v>
      </c>
      <c r="C8" s="7">
        <f>$B8 * IFERROR(VLOOKUP("industry|NOx|Asthma symptoms wheeze", US_national_yearly!$D:$AM, 11, FALSE) / VLOOKUP("industry|NOx|Asthma symptoms wheeze", US_national_yearly!$D:$AM, 10, FALSE), 1)</f>
        <v>1.1854535643022631E-3</v>
      </c>
      <c r="D8" s="7">
        <f>$B8 * IFERROR(VLOOKUP("industry|NOx|Asthma symptoms wheeze", US_national_yearly!$D:$AM, 12, FALSE) / VLOOKUP("industry|NOx|Asthma symptoms wheeze", US_national_yearly!$D:$AM, 10, FALSE), 1)</f>
        <v>1.2014521058416358E-3</v>
      </c>
      <c r="E8" s="7">
        <f>$B8 * IFERROR(VLOOKUP("industry|NOx|Asthma symptoms wheeze", US_national_yearly!$D:$AM, 13, FALSE) / VLOOKUP("industry|NOx|Asthma symptoms wheeze", US_national_yearly!$D:$AM, 10, FALSE), 1)</f>
        <v>1.2174506473810083E-3</v>
      </c>
      <c r="F8" s="7">
        <f>$B8 * IFERROR(VLOOKUP("industry|NOx|Asthma symptoms wheeze", US_national_yearly!$D:$AM, 14, FALSE) / VLOOKUP("industry|NOx|Asthma symptoms wheeze", US_national_yearly!$D:$AM, 10, FALSE), 1)</f>
        <v>1.2334491889203808E-3</v>
      </c>
      <c r="G8" s="7">
        <f>$B8 * IFERROR(VLOOKUP("industry|NOx|Asthma symptoms wheeze", US_national_yearly!$D:$AM, 15, FALSE) / VLOOKUP("industry|NOx|Asthma symptoms wheeze", US_national_yearly!$D:$AM, 10, FALSE), 1)</f>
        <v>1.2462775372652905E-3</v>
      </c>
      <c r="H8" s="7">
        <f>$B8 * IFERROR(VLOOKUP("industry|NOx|Asthma symptoms wheeze", US_national_yearly!$D:$AM, 16, FALSE) / VLOOKUP("industry|NOx|Asthma symptoms wheeze", US_national_yearly!$D:$AM, 10, FALSE), 1)</f>
        <v>1.2591058856101995E-3</v>
      </c>
      <c r="I8" s="7">
        <f>$B8 * IFERROR(VLOOKUP("industry|NOx|Asthma symptoms wheeze", US_national_yearly!$D:$AM, 17, FALSE) / VLOOKUP("industry|NOx|Asthma symptoms wheeze", US_national_yearly!$D:$AM, 10, FALSE), 1)</f>
        <v>1.2635702645621477E-3</v>
      </c>
      <c r="J8" s="7">
        <f>$B8 * IFERROR(VLOOKUP("industry|NOx|Asthma symptoms wheeze", US_national_yearly!$D:$AM, 18, FALSE) / VLOOKUP("industry|NOx|Asthma symptoms wheeze", US_national_yearly!$D:$AM, 10, FALSE), 1)</f>
        <v>1.2680346435140954E-3</v>
      </c>
      <c r="K8" s="7">
        <f>$B8 * IFERROR(VLOOKUP("industry|NOx|Asthma symptoms wheeze", US_national_yearly!$D:$AM, 19, FALSE) / VLOOKUP("industry|NOx|Asthma symptoms wheeze", US_national_yearly!$D:$AM, 10, FALSE), 1)</f>
        <v>1.2724990224660436E-3</v>
      </c>
      <c r="L8" s="7">
        <f>$B8 * IFERROR(VLOOKUP("industry|NOx|Asthma symptoms wheeze", US_national_yearly!$D:$AM, 20, FALSE) / VLOOKUP("industry|NOx|Asthma symptoms wheeze", US_national_yearly!$D:$AM, 10, FALSE), 1)</f>
        <v>1.2769634014179912E-3</v>
      </c>
      <c r="M8" s="7">
        <f>$B8 * IFERROR(VLOOKUP("industry|NOx|Asthma symptoms wheeze", US_national_yearly!$D:$AM, 21, FALSE) / VLOOKUP("industry|NOx|Asthma symptoms wheeze", US_national_yearly!$D:$AM, 10, FALSE), 1)</f>
        <v>1.2814277803699394E-3</v>
      </c>
      <c r="N8" s="7">
        <f>$B8 * IFERROR(VLOOKUP("industry|NOx|Asthma symptoms wheeze", US_national_yearly!$D:$AM, 22, FALSE) / VLOOKUP("industry|NOx|Asthma symptoms wheeze", US_national_yearly!$D:$AM, 10, FALSE), 1)</f>
        <v>1.2865239908141442E-3</v>
      </c>
      <c r="O8" s="7">
        <f>$B8 * IFERROR(VLOOKUP("industry|NOx|Asthma symptoms wheeze", US_national_yearly!$D:$AM, 23, FALSE) / VLOOKUP("industry|NOx|Asthma symptoms wheeze", US_national_yearly!$D:$AM, 10, FALSE), 1)</f>
        <v>1.2916202012583492E-3</v>
      </c>
      <c r="P8" s="7">
        <f>$B8 * IFERROR(VLOOKUP("industry|NOx|Asthma symptoms wheeze", US_national_yearly!$D:$AM, 24, FALSE) / VLOOKUP("industry|NOx|Asthma symptoms wheeze", US_national_yearly!$D:$AM, 10, FALSE), 1)</f>
        <v>1.2967164117025538E-3</v>
      </c>
      <c r="Q8" s="7">
        <f>$B8 * IFERROR(VLOOKUP("industry|NOx|Asthma symptoms wheeze", US_national_yearly!$D:$AM, 25, FALSE) / VLOOKUP("industry|NOx|Asthma symptoms wheeze", US_national_yearly!$D:$AM, 10, FALSE), 1)</f>
        <v>1.3018126221467587E-3</v>
      </c>
      <c r="R8" s="7">
        <f>$B8 * IFERROR(VLOOKUP("industry|NOx|Asthma symptoms wheeze", US_national_yearly!$D:$AM, 26, FALSE) / VLOOKUP("industry|NOx|Asthma symptoms wheeze", US_national_yearly!$D:$AM, 10, FALSE), 1)</f>
        <v>1.3069088325909637E-3</v>
      </c>
      <c r="S8" s="7">
        <f>$B8 * IFERROR(VLOOKUP("industry|NOx|Asthma symptoms wheeze", US_national_yearly!$D:$AM, 27, FALSE) / VLOOKUP("industry|NOx|Asthma symptoms wheeze", US_national_yearly!$D:$AM, 10, FALSE), 1)</f>
        <v>1.3134827185748168E-3</v>
      </c>
      <c r="T8" s="7">
        <f>$B8 * IFERROR(VLOOKUP("industry|NOx|Asthma symptoms wheeze", US_national_yearly!$D:$AM, 28, FALSE) / VLOOKUP("industry|NOx|Asthma symptoms wheeze", US_national_yearly!$D:$AM, 10, FALSE), 1)</f>
        <v>1.3200566045586698E-3</v>
      </c>
      <c r="U8" s="7">
        <f>$B8 * IFERROR(VLOOKUP("industry|NOx|Asthma symptoms wheeze", US_national_yearly!$D:$AM, 29, FALSE) / VLOOKUP("industry|NOx|Asthma symptoms wheeze", US_national_yearly!$D:$AM, 10, FALSE), 1)</f>
        <v>1.3266304905425227E-3</v>
      </c>
      <c r="V8" s="7">
        <f>$B8 * IFERROR(VLOOKUP("industry|NOx|Asthma symptoms wheeze", US_national_yearly!$D:$AM, 30, FALSE) / VLOOKUP("industry|NOx|Asthma symptoms wheeze", US_national_yearly!$D:$AM, 10, FALSE), 1)</f>
        <v>1.3332043765263756E-3</v>
      </c>
      <c r="W8" s="7">
        <f>$B8 * IFERROR(VLOOKUP("industry|NOx|Asthma symptoms wheeze", US_national_yearly!$D:$AM, 31, FALSE) / VLOOKUP("industry|NOx|Asthma symptoms wheeze", US_national_yearly!$D:$AM, 10, FALSE), 1)</f>
        <v>1.3397782625102284E-3</v>
      </c>
      <c r="X8" s="7">
        <f>$B8 * IFERROR(VLOOKUP("industry|NOx|Asthma symptoms wheeze", US_national_yearly!$D:$AM, 32, FALSE) / VLOOKUP("industry|NOx|Asthma symptoms wheeze", US_national_yearly!$D:$AM, 10, FALSE), 1)</f>
        <v>1.3458727603399101E-3</v>
      </c>
      <c r="Y8" s="7">
        <f>$B8 * IFERROR(VLOOKUP("industry|NOx|Asthma symptoms wheeze", US_national_yearly!$D:$AM, 33, FALSE) / VLOOKUP("industry|NOx|Asthma symptoms wheeze", US_national_yearly!$D:$AM, 10, FALSE), 1)</f>
        <v>1.3519672581695915E-3</v>
      </c>
      <c r="Z8" s="7">
        <f>$B8 * IFERROR(VLOOKUP("industry|NOx|Asthma symptoms wheeze", US_national_yearly!$D:$AM, 34, FALSE) / VLOOKUP("industry|NOx|Asthma symptoms wheeze", US_national_yearly!$D:$AM, 10, FALSE), 1)</f>
        <v>1.358061755999273E-3</v>
      </c>
      <c r="AA8" s="7">
        <f>$B8 * IFERROR(VLOOKUP("industry|NOx|Asthma symptoms wheeze", US_national_yearly!$D:$AM, 35, FALSE) / VLOOKUP("industry|NOx|Asthma symptoms wheeze", US_national_yearly!$D:$AM, 10, FALSE), 1)</f>
        <v>1.364156253828954E-3</v>
      </c>
      <c r="AB8" s="7">
        <f>$B8 * IFERROR(VLOOKUP("industry|NOx|Asthma symptoms wheeze", US_national_yearly!$D:$AM, 36, FALSE) / VLOOKUP("industry|NOx|Asthma symptoms wheeze", US_national_yearly!$D:$AM, 10, FALSE), 1)</f>
        <v>1.3702507516586365E-3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1.6220696504382941E-5</v>
      </c>
      <c r="C12" s="7">
        <f>$B12 * IFERROR(VLOOKUP("industry|NOx|Respiratory hospital admissions", US_national_yearly!$D:$AM, 11, FALSE) / VLOOKUP("industry|NOx|Respiratory hospital admissions", US_national_yearly!$D:$AM, 10, FALSE), 1)</f>
        <v>1.6628214139965204E-5</v>
      </c>
      <c r="D12" s="7">
        <f>$B12 * IFERROR(VLOOKUP("industry|NOx|Respiratory hospital admissions", US_national_yearly!$D:$AM, 12, FALSE) / VLOOKUP("industry|NOx|Respiratory hospital admissions", US_national_yearly!$D:$AM, 10, FALSE), 1)</f>
        <v>1.7035731775547468E-5</v>
      </c>
      <c r="E12" s="7">
        <f>$B12 * IFERROR(VLOOKUP("industry|NOx|Respiratory hospital admissions", US_national_yearly!$D:$AM, 13, FALSE) / VLOOKUP("industry|NOx|Respiratory hospital admissions", US_national_yearly!$D:$AM, 10, FALSE), 1)</f>
        <v>1.7443249411129735E-5</v>
      </c>
      <c r="F12" s="7">
        <f>$B12 * IFERROR(VLOOKUP("industry|NOx|Respiratory hospital admissions", US_national_yearly!$D:$AM, 14, FALSE) / VLOOKUP("industry|NOx|Respiratory hospital admissions", US_national_yearly!$D:$AM, 10, FALSE), 1)</f>
        <v>1.7850767046711995E-5</v>
      </c>
      <c r="G12" s="7">
        <f>$B12 * IFERROR(VLOOKUP("industry|NOx|Respiratory hospital admissions", US_national_yearly!$D:$AM, 15, FALSE) / VLOOKUP("industry|NOx|Respiratory hospital admissions", US_national_yearly!$D:$AM, 10, FALSE), 1)</f>
        <v>1.8240575786333371E-5</v>
      </c>
      <c r="H12" s="7">
        <f>$B12 * IFERROR(VLOOKUP("industry|NOx|Respiratory hospital admissions", US_national_yearly!$D:$AM, 16, FALSE) / VLOOKUP("industry|NOx|Respiratory hospital admissions", US_national_yearly!$D:$AM, 10, FALSE), 1)</f>
        <v>1.8630384525954744E-5</v>
      </c>
      <c r="I12" s="7">
        <f>$B12 * IFERROR(VLOOKUP("industry|NOx|Respiratory hospital admissions", US_national_yearly!$D:$AM, 17, FALSE) / VLOOKUP("industry|NOx|Respiratory hospital admissions", US_national_yearly!$D:$AM, 10, FALSE), 1)</f>
        <v>1.8962359600697261E-5</v>
      </c>
      <c r="J12" s="7">
        <f>$B12 * IFERROR(VLOOKUP("industry|NOx|Respiratory hospital admissions", US_national_yearly!$D:$AM, 18, FALSE) / VLOOKUP("industry|NOx|Respiratory hospital admissions", US_national_yearly!$D:$AM, 10, FALSE), 1)</f>
        <v>1.9294334675439778E-5</v>
      </c>
      <c r="K12" s="7">
        <f>$B12 * IFERROR(VLOOKUP("industry|NOx|Respiratory hospital admissions", US_national_yearly!$D:$AM, 19, FALSE) / VLOOKUP("industry|NOx|Respiratory hospital admissions", US_national_yearly!$D:$AM, 10, FALSE), 1)</f>
        <v>1.9626309750182302E-5</v>
      </c>
      <c r="L12" s="7">
        <f>$B12 * IFERROR(VLOOKUP("industry|NOx|Respiratory hospital admissions", US_national_yearly!$D:$AM, 20, FALSE) / VLOOKUP("industry|NOx|Respiratory hospital admissions", US_national_yearly!$D:$AM, 10, FALSE), 1)</f>
        <v>1.9958284824924823E-5</v>
      </c>
      <c r="M12" s="7">
        <f>$B12 * IFERROR(VLOOKUP("industry|NOx|Respiratory hospital admissions", US_national_yearly!$D:$AM, 21, FALSE) / VLOOKUP("industry|NOx|Respiratory hospital admissions", US_national_yearly!$D:$AM, 10, FALSE), 1)</f>
        <v>2.029025989966734E-5</v>
      </c>
      <c r="N12" s="7">
        <f>$B12 * IFERROR(VLOOKUP("industry|NOx|Respiratory hospital admissions", US_national_yearly!$D:$AM, 22, FALSE) / VLOOKUP("industry|NOx|Respiratory hospital admissions", US_national_yearly!$D:$AM, 10, FALSE), 1)</f>
        <v>2.0512755234624337E-5</v>
      </c>
      <c r="O12" s="7">
        <f>$B12 * IFERROR(VLOOKUP("industry|NOx|Respiratory hospital admissions", US_national_yearly!$D:$AM, 23, FALSE) / VLOOKUP("industry|NOx|Respiratory hospital admissions", US_national_yearly!$D:$AM, 10, FALSE), 1)</f>
        <v>2.0735250569581333E-5</v>
      </c>
      <c r="P12" s="7">
        <f>$B12 * IFERROR(VLOOKUP("industry|NOx|Respiratory hospital admissions", US_national_yearly!$D:$AM, 24, FALSE) / VLOOKUP("industry|NOx|Respiratory hospital admissions", US_national_yearly!$D:$AM, 10, FALSE), 1)</f>
        <v>2.095774590453833E-5</v>
      </c>
      <c r="Q12" s="7">
        <f>$B12 * IFERROR(VLOOKUP("industry|NOx|Respiratory hospital admissions", US_national_yearly!$D:$AM, 25, FALSE) / VLOOKUP("industry|NOx|Respiratory hospital admissions", US_national_yearly!$D:$AM, 10, FALSE), 1)</f>
        <v>2.1180241239495327E-5</v>
      </c>
      <c r="R12" s="7">
        <f>$B12 * IFERROR(VLOOKUP("industry|NOx|Respiratory hospital admissions", US_national_yearly!$D:$AM, 26, FALSE) / VLOOKUP("industry|NOx|Respiratory hospital admissions", US_national_yearly!$D:$AM, 10, FALSE), 1)</f>
        <v>2.1402736574452323E-5</v>
      </c>
      <c r="S12" s="7">
        <f>$B12 * IFERROR(VLOOKUP("industry|NOx|Respiratory hospital admissions", US_national_yearly!$D:$AM, 27, FALSE) / VLOOKUP("industry|NOx|Respiratory hospital admissions", US_national_yearly!$D:$AM, 10, FALSE), 1)</f>
        <v>2.1523532209356013E-5</v>
      </c>
      <c r="T12" s="7">
        <f>$B12 * IFERROR(VLOOKUP("industry|NOx|Respiratory hospital admissions", US_national_yearly!$D:$AM, 28, FALSE) / VLOOKUP("industry|NOx|Respiratory hospital admissions", US_national_yearly!$D:$AM, 10, FALSE), 1)</f>
        <v>2.1644327844259706E-5</v>
      </c>
      <c r="U12" s="7">
        <f>$B12 * IFERROR(VLOOKUP("industry|NOx|Respiratory hospital admissions", US_national_yearly!$D:$AM, 29, FALSE) / VLOOKUP("industry|NOx|Respiratory hospital admissions", US_national_yearly!$D:$AM, 10, FALSE), 1)</f>
        <v>2.1765123479163393E-5</v>
      </c>
      <c r="V12" s="7">
        <f>$B12 * IFERROR(VLOOKUP("industry|NOx|Respiratory hospital admissions", US_national_yearly!$D:$AM, 30, FALSE) / VLOOKUP("industry|NOx|Respiratory hospital admissions", US_national_yearly!$D:$AM, 10, FALSE), 1)</f>
        <v>2.1885919114067083E-5</v>
      </c>
      <c r="W12" s="7">
        <f>$B12 * IFERROR(VLOOKUP("industry|NOx|Respiratory hospital admissions", US_national_yearly!$D:$AM, 31, FALSE) / VLOOKUP("industry|NOx|Respiratory hospital admissions", US_national_yearly!$D:$AM, 10, FALSE), 1)</f>
        <v>2.2006714748970776E-5</v>
      </c>
      <c r="X12" s="7">
        <f>$B12 * IFERROR(VLOOKUP("industry|NOx|Respiratory hospital admissions", US_national_yearly!$D:$AM, 32, FALSE) / VLOOKUP("industry|NOx|Respiratory hospital admissions", US_national_yearly!$D:$AM, 10, FALSE), 1)</f>
        <v>2.2090940906779207E-5</v>
      </c>
      <c r="Y12" s="7">
        <f>$B12 * IFERROR(VLOOKUP("industry|NOx|Respiratory hospital admissions", US_national_yearly!$D:$AM, 33, FALSE) / VLOOKUP("industry|NOx|Respiratory hospital admissions", US_national_yearly!$D:$AM, 10, FALSE), 1)</f>
        <v>2.2175167064587638E-5</v>
      </c>
      <c r="Z12" s="7">
        <f>$B12 * IFERROR(VLOOKUP("industry|NOx|Respiratory hospital admissions", US_national_yearly!$D:$AM, 34, FALSE) / VLOOKUP("industry|NOx|Respiratory hospital admissions", US_national_yearly!$D:$AM, 10, FALSE), 1)</f>
        <v>2.2259393222396076E-5</v>
      </c>
      <c r="AA12" s="7">
        <f>$B12 * IFERROR(VLOOKUP("industry|NOx|Respiratory hospital admissions", US_national_yearly!$D:$AM, 35, FALSE) / VLOOKUP("industry|NOx|Respiratory hospital admissions", US_national_yearly!$D:$AM, 10, FALSE), 1)</f>
        <v>2.2343619380204507E-5</v>
      </c>
      <c r="AB12" s="7">
        <f>$B12 * IFERROR(VLOOKUP("industry|NOx|Respiratory hospital admissions", US_national_yearly!$D:$AM, 36, FALSE) / VLOOKUP("industry|NOx|Respiratory hospital admissions", US_national_yearly!$D:$AM, 10, FALSE), 1)</f>
        <v>2.2427845538012938E-5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1.0184100245726171E-4</v>
      </c>
      <c r="C13" s="7">
        <f>$B13 * IFERROR(VLOOKUP("industry|NOx|Non-fatal heart attacks", US_national_yearly!$D:$AM, 11, FALSE) / VLOOKUP("industry|NOx|Non-fatal heart attacks", US_national_yearly!$D:$AM, 10, FALSE), 1)</f>
        <v>1.0475069748966676E-4</v>
      </c>
      <c r="D13" s="7">
        <f>$B13 * IFERROR(VLOOKUP("industry|NOx|Non-fatal heart attacks", US_national_yearly!$D:$AM, 12, FALSE) / VLOOKUP("industry|NOx|Non-fatal heart attacks", US_national_yearly!$D:$AM, 10, FALSE), 1)</f>
        <v>1.0766039252207181E-4</v>
      </c>
      <c r="E13" s="7">
        <f>$B13 * IFERROR(VLOOKUP("industry|NOx|Non-fatal heart attacks", US_national_yearly!$D:$AM, 13, FALSE) / VLOOKUP("industry|NOx|Non-fatal heart attacks", US_national_yearly!$D:$AM, 10, FALSE), 1)</f>
        <v>1.1057008755447685E-4</v>
      </c>
      <c r="F13" s="7">
        <f>$B13 * IFERROR(VLOOKUP("industry|NOx|Non-fatal heart attacks", US_national_yearly!$D:$AM, 14, FALSE) / VLOOKUP("industry|NOx|Non-fatal heart attacks", US_national_yearly!$D:$AM, 10, FALSE), 1)</f>
        <v>1.134797825868819E-4</v>
      </c>
      <c r="G13" s="7">
        <f>$B13 * IFERROR(VLOOKUP("industry|NOx|Non-fatal heart attacks", US_national_yearly!$D:$AM, 15, FALSE) / VLOOKUP("industry|NOx|Non-fatal heart attacks", US_national_yearly!$D:$AM, 10, FALSE), 1)</f>
        <v>1.1620119505154651E-4</v>
      </c>
      <c r="H13" s="7">
        <f>$B13 * IFERROR(VLOOKUP("industry|NOx|Non-fatal heart attacks", US_national_yearly!$D:$AM, 16, FALSE) / VLOOKUP("industry|NOx|Non-fatal heart attacks", US_national_yearly!$D:$AM, 10, FALSE), 1)</f>
        <v>1.1892260751621111E-4</v>
      </c>
      <c r="I13" s="7">
        <f>$B13 * IFERROR(VLOOKUP("industry|NOx|Non-fatal heart attacks", US_national_yearly!$D:$AM, 17, FALSE) / VLOOKUP("industry|NOx|Non-fatal heart attacks", US_national_yearly!$D:$AM, 10, FALSE), 1)</f>
        <v>1.2107495870315199E-4</v>
      </c>
      <c r="J13" s="7">
        <f>$B13 * IFERROR(VLOOKUP("industry|NOx|Non-fatal heart attacks", US_national_yearly!$D:$AM, 18, FALSE) / VLOOKUP("industry|NOx|Non-fatal heart attacks", US_national_yearly!$D:$AM, 10, FALSE), 1)</f>
        <v>1.2322730989009289E-4</v>
      </c>
      <c r="K13" s="7">
        <f>$B13 * IFERROR(VLOOKUP("industry|NOx|Non-fatal heart attacks", US_national_yearly!$D:$AM, 19, FALSE) / VLOOKUP("industry|NOx|Non-fatal heart attacks", US_national_yearly!$D:$AM, 10, FALSE), 1)</f>
        <v>1.2537966107703372E-4</v>
      </c>
      <c r="L13" s="7">
        <f>$B13 * IFERROR(VLOOKUP("industry|NOx|Non-fatal heart attacks", US_national_yearly!$D:$AM, 20, FALSE) / VLOOKUP("industry|NOx|Non-fatal heart attacks", US_national_yearly!$D:$AM, 10, FALSE), 1)</f>
        <v>1.2753201226397466E-4</v>
      </c>
      <c r="M13" s="7">
        <f>$B13 * IFERROR(VLOOKUP("industry|NOx|Non-fatal heart attacks", US_national_yearly!$D:$AM, 21, FALSE) / VLOOKUP("industry|NOx|Non-fatal heart attacks", US_national_yearly!$D:$AM, 10, FALSE), 1)</f>
        <v>1.2968436345091558E-4</v>
      </c>
      <c r="N13" s="7">
        <f>$B13 * IFERROR(VLOOKUP("industry|NOx|Non-fatal heart attacks", US_national_yearly!$D:$AM, 22, FALSE) / VLOOKUP("industry|NOx|Non-fatal heart attacks", US_national_yearly!$D:$AM, 10, FALSE), 1)</f>
        <v>1.3098105173805336E-4</v>
      </c>
      <c r="O13" s="7">
        <f>$B13 * IFERROR(VLOOKUP("industry|NOx|Non-fatal heart attacks", US_national_yearly!$D:$AM, 23, FALSE) / VLOOKUP("industry|NOx|Non-fatal heart attacks", US_national_yearly!$D:$AM, 10, FALSE), 1)</f>
        <v>1.3227774002519112E-4</v>
      </c>
      <c r="P13" s="7">
        <f>$B13 * IFERROR(VLOOKUP("industry|NOx|Non-fatal heart attacks", US_national_yearly!$D:$AM, 24, FALSE) / VLOOKUP("industry|NOx|Non-fatal heart attacks", US_national_yearly!$D:$AM, 10, FALSE), 1)</f>
        <v>1.3357442831232887E-4</v>
      </c>
      <c r="Q13" s="7">
        <f>$B13 * IFERROR(VLOOKUP("industry|NOx|Non-fatal heart attacks", US_national_yearly!$D:$AM, 25, FALSE) / VLOOKUP("industry|NOx|Non-fatal heart attacks", US_national_yearly!$D:$AM, 10, FALSE), 1)</f>
        <v>1.3487111659946663E-4</v>
      </c>
      <c r="R13" s="7">
        <f>$B13 * IFERROR(VLOOKUP("industry|NOx|Non-fatal heart attacks", US_national_yearly!$D:$AM, 26, FALSE) / VLOOKUP("industry|NOx|Non-fatal heart attacks", US_national_yearly!$D:$AM, 10, FALSE), 1)</f>
        <v>1.3616780488660439E-4</v>
      </c>
      <c r="S13" s="7">
        <f>$B13 * IFERROR(VLOOKUP("industry|NOx|Non-fatal heart attacks", US_national_yearly!$D:$AM, 27, FALSE) / VLOOKUP("industry|NOx|Non-fatal heart attacks", US_national_yearly!$D:$AM, 10, FALSE), 1)</f>
        <v>1.3676275133702839E-4</v>
      </c>
      <c r="T13" s="7">
        <f>$B13 * IFERROR(VLOOKUP("industry|NOx|Non-fatal heart attacks", US_national_yearly!$D:$AM, 28, FALSE) / VLOOKUP("industry|NOx|Non-fatal heart attacks", US_national_yearly!$D:$AM, 10, FALSE), 1)</f>
        <v>1.3735769778745236E-4</v>
      </c>
      <c r="U13" s="7">
        <f>$B13 * IFERROR(VLOOKUP("industry|NOx|Non-fatal heart attacks", US_national_yearly!$D:$AM, 29, FALSE) / VLOOKUP("industry|NOx|Non-fatal heart attacks", US_national_yearly!$D:$AM, 10, FALSE), 1)</f>
        <v>1.3795264423787634E-4</v>
      </c>
      <c r="V13" s="7">
        <f>$B13 * IFERROR(VLOOKUP("industry|NOx|Non-fatal heart attacks", US_national_yearly!$D:$AM, 30, FALSE) / VLOOKUP("industry|NOx|Non-fatal heart attacks", US_national_yearly!$D:$AM, 10, FALSE), 1)</f>
        <v>1.3854759068830037E-4</v>
      </c>
      <c r="W13" s="7">
        <f>$B13 * IFERROR(VLOOKUP("industry|NOx|Non-fatal heart attacks", US_national_yearly!$D:$AM, 31, FALSE) / VLOOKUP("industry|NOx|Non-fatal heart attacks", US_national_yearly!$D:$AM, 10, FALSE), 1)</f>
        <v>1.3914253713872434E-4</v>
      </c>
      <c r="X13" s="7">
        <f>$B13 * IFERROR(VLOOKUP("industry|NOx|Non-fatal heart attacks", US_national_yearly!$D:$AM, 32, FALSE) / VLOOKUP("industry|NOx|Non-fatal heart attacks", US_national_yearly!$D:$AM, 10, FALSE), 1)</f>
        <v>1.3954406081363434E-4</v>
      </c>
      <c r="Y13" s="7">
        <f>$B13 * IFERROR(VLOOKUP("industry|NOx|Non-fatal heart attacks", US_national_yearly!$D:$AM, 33, FALSE) / VLOOKUP("industry|NOx|Non-fatal heart attacks", US_national_yearly!$D:$AM, 10, FALSE), 1)</f>
        <v>1.3994558448854433E-4</v>
      </c>
      <c r="Z13" s="7">
        <f>$B13 * IFERROR(VLOOKUP("industry|NOx|Non-fatal heart attacks", US_national_yearly!$D:$AM, 34, FALSE) / VLOOKUP("industry|NOx|Non-fatal heart attacks", US_national_yearly!$D:$AM, 10, FALSE), 1)</f>
        <v>1.4034710816345435E-4</v>
      </c>
      <c r="AA13" s="7">
        <f>$B13 * IFERROR(VLOOKUP("industry|NOx|Non-fatal heart attacks", US_national_yearly!$D:$AM, 35, FALSE) / VLOOKUP("industry|NOx|Non-fatal heart attacks", US_national_yearly!$D:$AM, 10, FALSE), 1)</f>
        <v>1.4074863183836435E-4</v>
      </c>
      <c r="AB13" s="7">
        <f>$B13 * IFERROR(VLOOKUP("industry|NOx|Non-fatal heart attacks", US_national_yearly!$D:$AM, 36, FALSE) / VLOOKUP("industry|NOx|Non-fatal heart attacks", US_national_yearly!$D:$AM, 10, FALSE), 1)</f>
        <v>1.4115015551327434E-4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7.4374120603338506E-2</v>
      </c>
      <c r="C14" s="7">
        <f>$B14 * IFERROR(VLOOKUP("industry|NOx|Minor restricted activity days", US_national_yearly!$D:$AM, 11, FALSE) / VLOOKUP("industry|NOx|Minor restricted activity days", US_national_yearly!$D:$AM, 10, FALSE), 1)</f>
        <v>7.4484311602055389E-2</v>
      </c>
      <c r="D14" s="7">
        <f>$B14 * IFERROR(VLOOKUP("industry|NOx|Minor restricted activity days", US_national_yearly!$D:$AM, 12, FALSE) / VLOOKUP("industry|NOx|Minor restricted activity days", US_national_yearly!$D:$AM, 10, FALSE), 1)</f>
        <v>7.4594502600772258E-2</v>
      </c>
      <c r="E14" s="7">
        <f>$B14 * IFERROR(VLOOKUP("industry|NOx|Minor restricted activity days", US_national_yearly!$D:$AM, 13, FALSE) / VLOOKUP("industry|NOx|Minor restricted activity days", US_national_yearly!$D:$AM, 10, FALSE), 1)</f>
        <v>7.4704693599489141E-2</v>
      </c>
      <c r="F14" s="7">
        <f>$B14 * IFERROR(VLOOKUP("industry|NOx|Minor restricted activity days", US_national_yearly!$D:$AM, 14, FALSE) / VLOOKUP("industry|NOx|Minor restricted activity days", US_national_yearly!$D:$AM, 10, FALSE), 1)</f>
        <v>7.4814884598206011E-2</v>
      </c>
      <c r="G14" s="7">
        <f>$B14 * IFERROR(VLOOKUP("industry|NOx|Minor restricted activity days", US_national_yearly!$D:$AM, 15, FALSE) / VLOOKUP("industry|NOx|Minor restricted activity days", US_national_yearly!$D:$AM, 10, FALSE), 1)</f>
        <v>7.5015477006500672E-2</v>
      </c>
      <c r="H14" s="7">
        <f>$B14 * IFERROR(VLOOKUP("industry|NOx|Minor restricted activity days", US_national_yearly!$D:$AM, 16, FALSE) / VLOOKUP("industry|NOx|Minor restricted activity days", US_national_yearly!$D:$AM, 10, FALSE), 1)</f>
        <v>7.5216069414795333E-2</v>
      </c>
      <c r="I14" s="7">
        <f>$B14 * IFERROR(VLOOKUP("industry|NOx|Minor restricted activity days", US_national_yearly!$D:$AM, 17, FALSE) / VLOOKUP("industry|NOx|Minor restricted activity days", US_national_yearly!$D:$AM, 10, FALSE), 1)</f>
        <v>7.5610964124358943E-2</v>
      </c>
      <c r="J14" s="7">
        <f>$B14 * IFERROR(VLOOKUP("industry|NOx|Minor restricted activity days", US_national_yearly!$D:$AM, 18, FALSE) / VLOOKUP("industry|NOx|Minor restricted activity days", US_national_yearly!$D:$AM, 10, FALSE), 1)</f>
        <v>7.6005858833922524E-2</v>
      </c>
      <c r="K14" s="7">
        <f>$B14 * IFERROR(VLOOKUP("industry|NOx|Minor restricted activity days", US_national_yearly!$D:$AM, 19, FALSE) / VLOOKUP("industry|NOx|Minor restricted activity days", US_national_yearly!$D:$AM, 10, FALSE), 1)</f>
        <v>7.6400753543486091E-2</v>
      </c>
      <c r="L14" s="7">
        <f>$B14 * IFERROR(VLOOKUP("industry|NOx|Minor restricted activity days", US_national_yearly!$D:$AM, 20, FALSE) / VLOOKUP("industry|NOx|Minor restricted activity days", US_national_yearly!$D:$AM, 10, FALSE), 1)</f>
        <v>7.67956482530497E-2</v>
      </c>
      <c r="M14" s="7">
        <f>$B14 * IFERROR(VLOOKUP("industry|NOx|Minor restricted activity days", US_national_yearly!$D:$AM, 21, FALSE) / VLOOKUP("industry|NOx|Minor restricted activity days", US_national_yearly!$D:$AM, 10, FALSE), 1)</f>
        <v>7.7190542962613282E-2</v>
      </c>
      <c r="N14" s="7">
        <f>$B14 * IFERROR(VLOOKUP("industry|NOx|Minor restricted activity days", US_national_yearly!$D:$AM, 22, FALSE) / VLOOKUP("industry|NOx|Minor restricted activity days", US_national_yearly!$D:$AM, 10, FALSE), 1)</f>
        <v>7.7759217743911993E-2</v>
      </c>
      <c r="O14" s="7">
        <f>$B14 * IFERROR(VLOOKUP("industry|NOx|Minor restricted activity days", US_national_yearly!$D:$AM, 23, FALSE) / VLOOKUP("industry|NOx|Minor restricted activity days", US_national_yearly!$D:$AM, 10, FALSE), 1)</f>
        <v>7.8327892525210718E-2</v>
      </c>
      <c r="P14" s="7">
        <f>$B14 * IFERROR(VLOOKUP("industry|NOx|Minor restricted activity days", US_national_yearly!$D:$AM, 24, FALSE) / VLOOKUP("industry|NOx|Minor restricted activity days", US_national_yearly!$D:$AM, 10, FALSE), 1)</f>
        <v>7.8896567306509444E-2</v>
      </c>
      <c r="Q14" s="7">
        <f>$B14 * IFERROR(VLOOKUP("industry|NOx|Minor restricted activity days", US_national_yearly!$D:$AM, 25, FALSE) / VLOOKUP("industry|NOx|Minor restricted activity days", US_national_yearly!$D:$AM, 10, FALSE), 1)</f>
        <v>7.9465242087808155E-2</v>
      </c>
      <c r="R14" s="7">
        <f>$B14 * IFERROR(VLOOKUP("industry|NOx|Minor restricted activity days", US_national_yearly!$D:$AM, 26, FALSE) / VLOOKUP("industry|NOx|Minor restricted activity days", US_national_yearly!$D:$AM, 10, FALSE), 1)</f>
        <v>8.003391686910688E-2</v>
      </c>
      <c r="S14" s="7">
        <f>$B14 * IFERROR(VLOOKUP("industry|NOx|Minor restricted activity days", US_national_yearly!$D:$AM, 27, FALSE) / VLOOKUP("industry|NOx|Minor restricted activity days", US_national_yearly!$D:$AM, 10, FALSE), 1)</f>
        <v>8.0603200492861543E-2</v>
      </c>
      <c r="T14" s="7">
        <f>$B14 * IFERROR(VLOOKUP("industry|NOx|Minor restricted activity days", US_national_yearly!$D:$AM, 28, FALSE) / VLOOKUP("industry|NOx|Minor restricted activity days", US_national_yearly!$D:$AM, 10, FALSE), 1)</f>
        <v>8.1172484116616234E-2</v>
      </c>
      <c r="U14" s="7">
        <f>$B14 * IFERROR(VLOOKUP("industry|NOx|Minor restricted activity days", US_national_yearly!$D:$AM, 29, FALSE) / VLOOKUP("industry|NOx|Minor restricted activity days", US_national_yearly!$D:$AM, 10, FALSE), 1)</f>
        <v>8.174176774037091E-2</v>
      </c>
      <c r="V14" s="7">
        <f>$B14 * IFERROR(VLOOKUP("industry|NOx|Minor restricted activity days", US_national_yearly!$D:$AM, 30, FALSE) / VLOOKUP("industry|NOx|Minor restricted activity days", US_national_yearly!$D:$AM, 10, FALSE), 1)</f>
        <v>8.2311051364125601E-2</v>
      </c>
      <c r="W14" s="7">
        <f>$B14 * IFERROR(VLOOKUP("industry|NOx|Minor restricted activity days", US_national_yearly!$D:$AM, 31, FALSE) / VLOOKUP("industry|NOx|Minor restricted activity days", US_national_yearly!$D:$AM, 10, FALSE), 1)</f>
        <v>8.2880334987880278E-2</v>
      </c>
      <c r="X14" s="7">
        <f>$B14 * IFERROR(VLOOKUP("industry|NOx|Minor restricted activity days", US_national_yearly!$D:$AM, 32, FALSE) / VLOOKUP("industry|NOx|Minor restricted activity days", US_national_yearly!$D:$AM, 10, FALSE), 1)</f>
        <v>8.3360972843004338E-2</v>
      </c>
      <c r="Y14" s="7">
        <f>$B14 * IFERROR(VLOOKUP("industry|NOx|Minor restricted activity days", US_national_yearly!$D:$AM, 33, FALSE) / VLOOKUP("industry|NOx|Minor restricted activity days", US_national_yearly!$D:$AM, 10, FALSE), 1)</f>
        <v>8.3841610698128372E-2</v>
      </c>
      <c r="Z14" s="7">
        <f>$B14 * IFERROR(VLOOKUP("industry|NOx|Minor restricted activity days", US_national_yearly!$D:$AM, 34, FALSE) / VLOOKUP("industry|NOx|Minor restricted activity days", US_national_yearly!$D:$AM, 10, FALSE), 1)</f>
        <v>8.4322248553252405E-2</v>
      </c>
      <c r="AA14" s="7">
        <f>$B14 * IFERROR(VLOOKUP("industry|NOx|Minor restricted activity days", US_national_yearly!$D:$AM, 35, FALSE) / VLOOKUP("industry|NOx|Minor restricted activity days", US_national_yearly!$D:$AM, 10, FALSE), 1)</f>
        <v>8.4802886408376452E-2</v>
      </c>
      <c r="AB14" s="7">
        <f>$B14 * IFERROR(VLOOKUP("industry|NOx|Minor restricted activity days", US_national_yearly!$D:$AM, 36, FALSE) / VLOOKUP("industry|NOx|Minor restricted activity days", US_national_yearly!$D:$AM, 10, FALSE), 1)</f>
        <v>8.5283524263500499E-2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1.2635636662996622E-2</v>
      </c>
      <c r="C15" s="7">
        <f>$B15 * IFERROR(VLOOKUP("industry|NOx|Work loss days", US_national_yearly!$D:$AM, 11, FALSE) / VLOOKUP("industry|NOx|Work loss days", US_national_yearly!$D:$AM, 10, FALSE), 1)</f>
        <v>1.2663014004823498E-2</v>
      </c>
      <c r="D15" s="7">
        <f>$B15 * IFERROR(VLOOKUP("industry|NOx|Work loss days", US_national_yearly!$D:$AM, 12, FALSE) / VLOOKUP("industry|NOx|Work loss days", US_national_yearly!$D:$AM, 10, FALSE), 1)</f>
        <v>1.2690391346650367E-2</v>
      </c>
      <c r="E15" s="7">
        <f>$B15 * IFERROR(VLOOKUP("industry|NOx|Work loss days", US_national_yearly!$D:$AM, 13, FALSE) / VLOOKUP("industry|NOx|Work loss days", US_national_yearly!$D:$AM, 10, FALSE), 1)</f>
        <v>1.2717768688477243E-2</v>
      </c>
      <c r="F15" s="7">
        <f>$B15 * IFERROR(VLOOKUP("industry|NOx|Work loss days", US_national_yearly!$D:$AM, 14, FALSE) / VLOOKUP("industry|NOx|Work loss days", US_national_yearly!$D:$AM, 10, FALSE), 1)</f>
        <v>1.2745146030304116E-2</v>
      </c>
      <c r="G15" s="7">
        <f>$B15 * IFERROR(VLOOKUP("industry|NOx|Work loss days", US_national_yearly!$D:$AM, 15, FALSE) / VLOOKUP("industry|NOx|Work loss days", US_national_yearly!$D:$AM, 10, FALSE), 1)</f>
        <v>1.278519221495978E-2</v>
      </c>
      <c r="H15" s="7">
        <f>$B15 * IFERROR(VLOOKUP("industry|NOx|Work loss days", US_national_yearly!$D:$AM, 16, FALSE) / VLOOKUP("industry|NOx|Work loss days", US_national_yearly!$D:$AM, 10, FALSE), 1)</f>
        <v>1.2825238399615444E-2</v>
      </c>
      <c r="I15" s="7">
        <f>$B15 * IFERROR(VLOOKUP("industry|NOx|Work loss days", US_national_yearly!$D:$AM, 17, FALSE) / VLOOKUP("industry|NOx|Work loss days", US_national_yearly!$D:$AM, 10, FALSE), 1)</f>
        <v>1.2890303295786429E-2</v>
      </c>
      <c r="J15" s="7">
        <f>$B15 * IFERROR(VLOOKUP("industry|NOx|Work loss days", US_national_yearly!$D:$AM, 18, FALSE) / VLOOKUP("industry|NOx|Work loss days", US_national_yearly!$D:$AM, 10, FALSE), 1)</f>
        <v>1.2955368191957412E-2</v>
      </c>
      <c r="K15" s="7">
        <f>$B15 * IFERROR(VLOOKUP("industry|NOx|Work loss days", US_national_yearly!$D:$AM, 19, FALSE) / VLOOKUP("industry|NOx|Work loss days", US_national_yearly!$D:$AM, 10, FALSE), 1)</f>
        <v>1.3020433088128398E-2</v>
      </c>
      <c r="L15" s="7">
        <f>$B15 * IFERROR(VLOOKUP("industry|NOx|Work loss days", US_national_yearly!$D:$AM, 20, FALSE) / VLOOKUP("industry|NOx|Work loss days", US_national_yearly!$D:$AM, 10, FALSE), 1)</f>
        <v>1.308549798429938E-2</v>
      </c>
      <c r="M15" s="7">
        <f>$B15 * IFERROR(VLOOKUP("industry|NOx|Work loss days", US_national_yearly!$D:$AM, 21, FALSE) / VLOOKUP("industry|NOx|Work loss days", US_national_yearly!$D:$AM, 10, FALSE), 1)</f>
        <v>1.3150562880470366E-2</v>
      </c>
      <c r="N15" s="7">
        <f>$B15 * IFERROR(VLOOKUP("industry|NOx|Work loss days", US_national_yearly!$D:$AM, 22, FALSE) / VLOOKUP("industry|NOx|Work loss days", US_national_yearly!$D:$AM, 10, FALSE), 1)</f>
        <v>1.323565300945586E-2</v>
      </c>
      <c r="O15" s="7">
        <f>$B15 * IFERROR(VLOOKUP("industry|NOx|Work loss days", US_national_yearly!$D:$AM, 23, FALSE) / VLOOKUP("industry|NOx|Work loss days", US_national_yearly!$D:$AM, 10, FALSE), 1)</f>
        <v>1.3320743138441357E-2</v>
      </c>
      <c r="P15" s="7">
        <f>$B15 * IFERROR(VLOOKUP("industry|NOx|Work loss days", US_national_yearly!$D:$AM, 24, FALSE) / VLOOKUP("industry|NOx|Work loss days", US_national_yearly!$D:$AM, 10, FALSE), 1)</f>
        <v>1.340583326742685E-2</v>
      </c>
      <c r="Q15" s="7">
        <f>$B15 * IFERROR(VLOOKUP("industry|NOx|Work loss days", US_national_yearly!$D:$AM, 25, FALSE) / VLOOKUP("industry|NOx|Work loss days", US_national_yearly!$D:$AM, 10, FALSE), 1)</f>
        <v>1.3490923396412346E-2</v>
      </c>
      <c r="R15" s="7">
        <f>$B15 * IFERROR(VLOOKUP("industry|NOx|Work loss days", US_national_yearly!$D:$AM, 26, FALSE) / VLOOKUP("industry|NOx|Work loss days", US_national_yearly!$D:$AM, 10, FALSE), 1)</f>
        <v>1.3576013525397843E-2</v>
      </c>
      <c r="S15" s="7">
        <f>$B15 * IFERROR(VLOOKUP("industry|NOx|Work loss days", US_national_yearly!$D:$AM, 27, FALSE) / VLOOKUP("industry|NOx|Work loss days", US_national_yearly!$D:$AM, 10, FALSE), 1)</f>
        <v>1.3671139135532175E-2</v>
      </c>
      <c r="T15" s="7">
        <f>$B15 * IFERROR(VLOOKUP("industry|NOx|Work loss days", US_national_yearly!$D:$AM, 28, FALSE) / VLOOKUP("industry|NOx|Work loss days", US_national_yearly!$D:$AM, 10, FALSE), 1)</f>
        <v>1.3766264745666511E-2</v>
      </c>
      <c r="U15" s="7">
        <f>$B15 * IFERROR(VLOOKUP("industry|NOx|Work loss days", US_national_yearly!$D:$AM, 29, FALSE) / VLOOKUP("industry|NOx|Work loss days", US_national_yearly!$D:$AM, 10, FALSE), 1)</f>
        <v>1.3861390355800847E-2</v>
      </c>
      <c r="V15" s="7">
        <f>$B15 * IFERROR(VLOOKUP("industry|NOx|Work loss days", US_national_yearly!$D:$AM, 30, FALSE) / VLOOKUP("industry|NOx|Work loss days", US_national_yearly!$D:$AM, 10, FALSE), 1)</f>
        <v>1.3956515965935178E-2</v>
      </c>
      <c r="W15" s="7">
        <f>$B15 * IFERROR(VLOOKUP("industry|NOx|Work loss days", US_national_yearly!$D:$AM, 31, FALSE) / VLOOKUP("industry|NOx|Work loss days", US_national_yearly!$D:$AM, 10, FALSE), 1)</f>
        <v>1.4051641576069513E-2</v>
      </c>
      <c r="X15" s="7">
        <f>$B15 * IFERROR(VLOOKUP("industry|NOx|Work loss days", US_national_yearly!$D:$AM, 32, FALSE) / VLOOKUP("industry|NOx|Work loss days", US_national_yearly!$D:$AM, 10, FALSE), 1)</f>
        <v>1.4134166360366364E-2</v>
      </c>
      <c r="Y15" s="7">
        <f>$B15 * IFERROR(VLOOKUP("industry|NOx|Work loss days", US_national_yearly!$D:$AM, 33, FALSE) / VLOOKUP("industry|NOx|Work loss days", US_national_yearly!$D:$AM, 10, FALSE), 1)</f>
        <v>1.4216691144663215E-2</v>
      </c>
      <c r="Z15" s="7">
        <f>$B15 * IFERROR(VLOOKUP("industry|NOx|Work loss days", US_national_yearly!$D:$AM, 34, FALSE) / VLOOKUP("industry|NOx|Work loss days", US_national_yearly!$D:$AM, 10, FALSE), 1)</f>
        <v>1.4299215928960066E-2</v>
      </c>
      <c r="AA15" s="7">
        <f>$B15 * IFERROR(VLOOKUP("industry|NOx|Work loss days", US_national_yearly!$D:$AM, 35, FALSE) / VLOOKUP("industry|NOx|Work loss days", US_national_yearly!$D:$AM, 10, FALSE), 1)</f>
        <v>1.4381740713256916E-2</v>
      </c>
      <c r="AB15" s="7">
        <f>$B15 * IFERROR(VLOOKUP("industry|NOx|Work loss days", US_national_yearly!$D:$AM, 36, FALSE) / VLOOKUP("industry|NOx|Work loss days", US_national_yearly!$D:$AM, 10, FALSE), 1)</f>
        <v>1.4464265497553766E-2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2.6345301082012904E-5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2.7118869494125425E-5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2.7892437906237943E-5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2.8666006318350465E-5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2.943957473046299E-5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3.0174792830418815E-5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3.0910010930374648E-5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3.1529852986887905E-5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3.214969504340117E-5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3.2769537099914421E-5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3.3389379156427685E-5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3.4009221212940943E-5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3.4397267847257723E-5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3.4785314481574489E-5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3.5173361115891269E-5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3.5561407750208042E-5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3.5949454384524816E-5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3.6128467928872852E-5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3.6307481473220894E-5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3.6486495017568937E-5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3.666550856191698E-5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3.6844522106265023E-5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3.6945663507742218E-5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3.7046804909219419E-5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3.7147946310696614E-5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3.7249087712173809E-5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3.7350229113651011E-5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4.4118537692356442E-3</v>
      </c>
      <c r="C2" s="7">
        <f>$B2 * IFERROR(VLOOKUP("industry|SO2|Premature mortality", US_national_yearly!$D:$AM, 11, FALSE) / VLOOKUP("industry|SO2|Premature mortality", US_national_yearly!$D:$AM, 10, FALSE), 1)</f>
        <v>4.4677824101773018E-3</v>
      </c>
      <c r="D2" s="7">
        <f>$B2 * IFERROR(VLOOKUP("industry|SO2|Premature mortality", US_national_yearly!$D:$AM, 12, FALSE) / VLOOKUP("industry|SO2|Premature mortality", US_national_yearly!$D:$AM, 10, FALSE), 1)</f>
        <v>4.5237110511189586E-3</v>
      </c>
      <c r="E2" s="7">
        <f>$B2 * IFERROR(VLOOKUP("industry|SO2|Premature mortality", US_national_yearly!$D:$AM, 13, FALSE) / VLOOKUP("industry|SO2|Premature mortality", US_national_yearly!$D:$AM, 10, FALSE), 1)</f>
        <v>4.5796396920606162E-3</v>
      </c>
      <c r="F2" s="7">
        <f>$B2 * IFERROR(VLOOKUP("industry|SO2|Premature mortality", US_national_yearly!$D:$AM, 14, FALSE) / VLOOKUP("industry|SO2|Premature mortality", US_national_yearly!$D:$AM, 10, FALSE), 1)</f>
        <v>4.6355683330022738E-3</v>
      </c>
      <c r="G2" s="7">
        <f>$B2 * IFERROR(VLOOKUP("industry|SO2|Premature mortality", US_national_yearly!$D:$AM, 15, FALSE) / VLOOKUP("industry|SO2|Premature mortality", US_national_yearly!$D:$AM, 10, FALSE), 1)</f>
        <v>4.7433687534850786E-3</v>
      </c>
      <c r="H2" s="7">
        <f>$B2 * IFERROR(VLOOKUP("industry|SO2|Premature mortality", US_national_yearly!$D:$AM, 16, FALSE) / VLOOKUP("industry|SO2|Premature mortality", US_national_yearly!$D:$AM, 10, FALSE), 1)</f>
        <v>4.8511691739678842E-3</v>
      </c>
      <c r="I2" s="7">
        <f>$B2 * IFERROR(VLOOKUP("industry|SO2|Premature mortality", US_national_yearly!$D:$AM, 17, FALSE) / VLOOKUP("industry|SO2|Premature mortality", US_national_yearly!$D:$AM, 10, FALSE), 1)</f>
        <v>4.9225514572060307E-3</v>
      </c>
      <c r="J2" s="7">
        <f>$B2 * IFERROR(VLOOKUP("industry|SO2|Premature mortality", US_national_yearly!$D:$AM, 18, FALSE) / VLOOKUP("industry|SO2|Premature mortality", US_national_yearly!$D:$AM, 10, FALSE), 1)</f>
        <v>4.9939337404441763E-3</v>
      </c>
      <c r="K2" s="7">
        <f>$B2 * IFERROR(VLOOKUP("industry|SO2|Premature mortality", US_national_yearly!$D:$AM, 19, FALSE) / VLOOKUP("industry|SO2|Premature mortality", US_national_yearly!$D:$AM, 10, FALSE), 1)</f>
        <v>5.0653160236823229E-3</v>
      </c>
      <c r="L2" s="7">
        <f>$B2 * IFERROR(VLOOKUP("industry|SO2|Premature mortality", US_national_yearly!$D:$AM, 20, FALSE) / VLOOKUP("industry|SO2|Premature mortality", US_national_yearly!$D:$AM, 10, FALSE), 1)</f>
        <v>5.1366983069204694E-3</v>
      </c>
      <c r="M2" s="7">
        <f>$B2 * IFERROR(VLOOKUP("industry|SO2|Premature mortality", US_national_yearly!$D:$AM, 21, FALSE) / VLOOKUP("industry|SO2|Premature mortality", US_national_yearly!$D:$AM, 10, FALSE), 1)</f>
        <v>5.208080590158615E-3</v>
      </c>
      <c r="N2" s="7">
        <f>$B2 * IFERROR(VLOOKUP("industry|SO2|Premature mortality", US_national_yearly!$D:$AM, 22, FALSE) / VLOOKUP("industry|SO2|Premature mortality", US_national_yearly!$D:$AM, 10, FALSE), 1)</f>
        <v>5.2639185075996865E-3</v>
      </c>
      <c r="O2" s="7">
        <f>$B2 * IFERROR(VLOOKUP("industry|SO2|Premature mortality", US_national_yearly!$D:$AM, 23, FALSE) / VLOOKUP("industry|SO2|Premature mortality", US_national_yearly!$D:$AM, 10, FALSE), 1)</f>
        <v>5.3197564250407588E-3</v>
      </c>
      <c r="P2" s="7">
        <f>$B2 * IFERROR(VLOOKUP("industry|SO2|Premature mortality", US_national_yearly!$D:$AM, 24, FALSE) / VLOOKUP("industry|SO2|Premature mortality", US_national_yearly!$D:$AM, 10, FALSE), 1)</f>
        <v>5.3755943424818303E-3</v>
      </c>
      <c r="Q2" s="7">
        <f>$B2 * IFERROR(VLOOKUP("industry|SO2|Premature mortality", US_national_yearly!$D:$AM, 25, FALSE) / VLOOKUP("industry|SO2|Premature mortality", US_national_yearly!$D:$AM, 10, FALSE), 1)</f>
        <v>5.4314322599229017E-3</v>
      </c>
      <c r="R2" s="7">
        <f>$B2 * IFERROR(VLOOKUP("industry|SO2|Premature mortality", US_national_yearly!$D:$AM, 26, FALSE) / VLOOKUP("industry|SO2|Premature mortality", US_national_yearly!$D:$AM, 10, FALSE), 1)</f>
        <v>5.4872701773639732E-3</v>
      </c>
      <c r="S2" s="7">
        <f>$B2 * IFERROR(VLOOKUP("industry|SO2|Premature mortality", US_national_yearly!$D:$AM, 27, FALSE) / VLOOKUP("industry|SO2|Premature mortality", US_national_yearly!$D:$AM, 10, FALSE), 1)</f>
        <v>5.5174195766331023E-3</v>
      </c>
      <c r="T2" s="7">
        <f>$B2 * IFERROR(VLOOKUP("industry|SO2|Premature mortality", US_national_yearly!$D:$AM, 28, FALSE) / VLOOKUP("industry|SO2|Premature mortality", US_national_yearly!$D:$AM, 10, FALSE), 1)</f>
        <v>5.5475689759022333E-3</v>
      </c>
      <c r="U2" s="7">
        <f>$B2 * IFERROR(VLOOKUP("industry|SO2|Premature mortality", US_national_yearly!$D:$AM, 29, FALSE) / VLOOKUP("industry|SO2|Premature mortality", US_national_yearly!$D:$AM, 10, FALSE), 1)</f>
        <v>5.5777183751713642E-3</v>
      </c>
      <c r="V2" s="7">
        <f>$B2 * IFERROR(VLOOKUP("industry|SO2|Premature mortality", US_national_yearly!$D:$AM, 30, FALSE) / VLOOKUP("industry|SO2|Premature mortality", US_national_yearly!$D:$AM, 10, FALSE), 1)</f>
        <v>5.6078677744404943E-3</v>
      </c>
      <c r="W2" s="7">
        <f>$B2 * IFERROR(VLOOKUP("industry|SO2|Premature mortality", US_national_yearly!$D:$AM, 31, FALSE) / VLOOKUP("industry|SO2|Premature mortality", US_national_yearly!$D:$AM, 10, FALSE), 1)</f>
        <v>5.6380171737096252E-3</v>
      </c>
      <c r="X2" s="7">
        <f>$B2 * IFERROR(VLOOKUP("industry|SO2|Premature mortality", US_national_yearly!$D:$AM, 32, FALSE) / VLOOKUP("industry|SO2|Premature mortality", US_national_yearly!$D:$AM, 10, FALSE), 1)</f>
        <v>5.6445062444083084E-3</v>
      </c>
      <c r="Y2" s="7">
        <f>$B2 * IFERROR(VLOOKUP("industry|SO2|Premature mortality", US_national_yearly!$D:$AM, 33, FALSE) / VLOOKUP("industry|SO2|Premature mortality", US_national_yearly!$D:$AM, 10, FALSE), 1)</f>
        <v>5.6509953151069924E-3</v>
      </c>
      <c r="Z2" s="7">
        <f>$B2 * IFERROR(VLOOKUP("industry|SO2|Premature mortality", US_national_yearly!$D:$AM, 34, FALSE) / VLOOKUP("industry|SO2|Premature mortality", US_national_yearly!$D:$AM, 10, FALSE), 1)</f>
        <v>5.6574843858056764E-3</v>
      </c>
      <c r="AA2" s="7">
        <f>$B2 * IFERROR(VLOOKUP("industry|SO2|Premature mortality", US_national_yearly!$D:$AM, 35, FALSE) / VLOOKUP("industry|SO2|Premature mortality", US_national_yearly!$D:$AM, 10, FALSE), 1)</f>
        <v>5.6639734565043605E-3</v>
      </c>
      <c r="AB2" s="7">
        <f>$B2 * IFERROR(VLOOKUP("industry|SO2|Premature mortality", US_national_yearly!$D:$AM, 36, FALSE) / VLOOKUP("industry|SO2|Premature mortality", US_national_yearly!$D:$AM, 10, FALSE), 1)</f>
        <v>5.6704625272030436E-3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1.145258345600843E-5</v>
      </c>
      <c r="C3" s="7">
        <f>$B3 * IFERROR(VLOOKUP("industry|SO2|Infant mortality", US_national_yearly!$D:$AM, 11, FALSE) / VLOOKUP("industry|SO2|Infant mortality", US_national_yearly!$D:$AM, 10, FALSE), 1)</f>
        <v>1.1354055997350264E-5</v>
      </c>
      <c r="D3" s="7">
        <f>$B3 * IFERROR(VLOOKUP("industry|SO2|Infant mortality", US_national_yearly!$D:$AM, 12, FALSE) / VLOOKUP("industry|SO2|Infant mortality", US_national_yearly!$D:$AM, 10, FALSE), 1)</f>
        <v>1.1255528538692098E-5</v>
      </c>
      <c r="E3" s="7">
        <f>$B3 * IFERROR(VLOOKUP("industry|SO2|Infant mortality", US_national_yearly!$D:$AM, 13, FALSE) / VLOOKUP("industry|SO2|Infant mortality", US_national_yearly!$D:$AM, 10, FALSE), 1)</f>
        <v>1.1157001080033932E-5</v>
      </c>
      <c r="F3" s="7">
        <f>$B3 * IFERROR(VLOOKUP("industry|SO2|Infant mortality", US_national_yearly!$D:$AM, 14, FALSE) / VLOOKUP("industry|SO2|Infant mortality", US_national_yearly!$D:$AM, 10, FALSE), 1)</f>
        <v>1.1058473621375766E-5</v>
      </c>
      <c r="G3" s="7">
        <f>$B3 * IFERROR(VLOOKUP("industry|SO2|Infant mortality", US_national_yearly!$D:$AM, 15, FALSE) / VLOOKUP("industry|SO2|Infant mortality", US_national_yearly!$D:$AM, 10, FALSE), 1)</f>
        <v>7.3616076019900967E-6</v>
      </c>
      <c r="H3" s="7">
        <f>$B3 * IFERROR(VLOOKUP("industry|SO2|Infant mortality", US_national_yearly!$D:$AM, 16, FALSE) / VLOOKUP("industry|SO2|Infant mortality", US_national_yearly!$D:$AM, 10, FALSE), 1)</f>
        <v>3.6647415826044267E-6</v>
      </c>
      <c r="I3" s="7">
        <f>$B3 * IFERROR(VLOOKUP("industry|SO2|Infant mortality", US_national_yearly!$D:$AM, 17, FALSE) / VLOOKUP("industry|SO2|Infant mortality", US_national_yearly!$D:$AM, 10, FALSE), 1)</f>
        <v>3.6414707861233817E-6</v>
      </c>
      <c r="J3" s="7">
        <f>$B3 * IFERROR(VLOOKUP("industry|SO2|Infant mortality", US_national_yearly!$D:$AM, 18, FALSE) / VLOOKUP("industry|SO2|Infant mortality", US_national_yearly!$D:$AM, 10, FALSE), 1)</f>
        <v>3.6181999896423371E-6</v>
      </c>
      <c r="K3" s="7">
        <f>$B3 * IFERROR(VLOOKUP("industry|SO2|Infant mortality", US_national_yearly!$D:$AM, 19, FALSE) / VLOOKUP("industry|SO2|Infant mortality", US_national_yearly!$D:$AM, 10, FALSE), 1)</f>
        <v>3.594929193161292E-6</v>
      </c>
      <c r="L3" s="7">
        <f>$B3 * IFERROR(VLOOKUP("industry|SO2|Infant mortality", US_national_yearly!$D:$AM, 20, FALSE) / VLOOKUP("industry|SO2|Infant mortality", US_national_yearly!$D:$AM, 10, FALSE), 1)</f>
        <v>3.571658396680247E-6</v>
      </c>
      <c r="M3" s="7">
        <f>$B3 * IFERROR(VLOOKUP("industry|SO2|Infant mortality", US_national_yearly!$D:$AM, 21, FALSE) / VLOOKUP("industry|SO2|Infant mortality", US_national_yearly!$D:$AM, 10, FALSE), 1)</f>
        <v>3.5483876001992024E-6</v>
      </c>
      <c r="N3" s="7">
        <f>$B3 * IFERROR(VLOOKUP("industry|SO2|Infant mortality", US_national_yearly!$D:$AM, 22, FALSE) / VLOOKUP("industry|SO2|Infant mortality", US_national_yearly!$D:$AM, 10, FALSE), 1)</f>
        <v>3.5336384600645317E-6</v>
      </c>
      <c r="O3" s="7">
        <f>$B3 * IFERROR(VLOOKUP("industry|SO2|Infant mortality", US_national_yearly!$D:$AM, 23, FALSE) / VLOOKUP("industry|SO2|Infant mortality", US_national_yearly!$D:$AM, 10, FALSE), 1)</f>
        <v>3.5188893199298611E-6</v>
      </c>
      <c r="P3" s="7">
        <f>$B3 * IFERROR(VLOOKUP("industry|SO2|Infant mortality", US_national_yearly!$D:$AM, 24, FALSE) / VLOOKUP("industry|SO2|Infant mortality", US_national_yearly!$D:$AM, 10, FALSE), 1)</f>
        <v>3.5041401797951909E-6</v>
      </c>
      <c r="Q3" s="7">
        <f>$B3 * IFERROR(VLOOKUP("industry|SO2|Infant mortality", US_national_yearly!$D:$AM, 25, FALSE) / VLOOKUP("industry|SO2|Infant mortality", US_national_yearly!$D:$AM, 10, FALSE), 1)</f>
        <v>3.4893910396605203E-6</v>
      </c>
      <c r="R3" s="7">
        <f>$B3 * IFERROR(VLOOKUP("industry|SO2|Infant mortality", US_national_yearly!$D:$AM, 26, FALSE) / VLOOKUP("industry|SO2|Infant mortality", US_national_yearly!$D:$AM, 10, FALSE), 1)</f>
        <v>3.4746418995258497E-6</v>
      </c>
      <c r="S3" s="7">
        <f>$B3 * IFERROR(VLOOKUP("industry|SO2|Infant mortality", US_national_yearly!$D:$AM, 27, FALSE) / VLOOKUP("industry|SO2|Infant mortality", US_national_yearly!$D:$AM, 10, FALSE), 1)</f>
        <v>3.4562867628817845E-6</v>
      </c>
      <c r="T3" s="7">
        <f>$B3 * IFERROR(VLOOKUP("industry|SO2|Infant mortality", US_national_yearly!$D:$AM, 28, FALSE) / VLOOKUP("industry|SO2|Infant mortality", US_national_yearly!$D:$AM, 10, FALSE), 1)</f>
        <v>3.4379316262377193E-6</v>
      </c>
      <c r="U3" s="7">
        <f>$B3 * IFERROR(VLOOKUP("industry|SO2|Infant mortality", US_national_yearly!$D:$AM, 29, FALSE) / VLOOKUP("industry|SO2|Infant mortality", US_national_yearly!$D:$AM, 10, FALSE), 1)</f>
        <v>3.4195764895936536E-6</v>
      </c>
      <c r="V3" s="7">
        <f>$B3 * IFERROR(VLOOKUP("industry|SO2|Infant mortality", US_national_yearly!$D:$AM, 30, FALSE) / VLOOKUP("industry|SO2|Infant mortality", US_national_yearly!$D:$AM, 10, FALSE), 1)</f>
        <v>3.4012213529495884E-6</v>
      </c>
      <c r="W3" s="7">
        <f>$B3 * IFERROR(VLOOKUP("industry|SO2|Infant mortality", US_national_yearly!$D:$AM, 31, FALSE) / VLOOKUP("industry|SO2|Infant mortality", US_national_yearly!$D:$AM, 10, FALSE), 1)</f>
        <v>3.3828662163055232E-6</v>
      </c>
      <c r="X3" s="7">
        <f>$B3 * IFERROR(VLOOKUP("industry|SO2|Infant mortality", US_national_yearly!$D:$AM, 32, FALSE) / VLOOKUP("industry|SO2|Infant mortality", US_national_yearly!$D:$AM, 10, FALSE), 1)</f>
        <v>3.3629196603333475E-6</v>
      </c>
      <c r="Y3" s="7">
        <f>$B3 * IFERROR(VLOOKUP("industry|SO2|Infant mortality", US_national_yearly!$D:$AM, 33, FALSE) / VLOOKUP("industry|SO2|Infant mortality", US_national_yearly!$D:$AM, 10, FALSE), 1)</f>
        <v>3.3429731043611717E-6</v>
      </c>
      <c r="Z3" s="7">
        <f>$B3 * IFERROR(VLOOKUP("industry|SO2|Infant mortality", US_national_yearly!$D:$AM, 34, FALSE) / VLOOKUP("industry|SO2|Infant mortality", US_national_yearly!$D:$AM, 10, FALSE), 1)</f>
        <v>3.3230265483889964E-6</v>
      </c>
      <c r="AA3" s="7">
        <f>$B3 * IFERROR(VLOOKUP("industry|SO2|Infant mortality", US_national_yearly!$D:$AM, 35, FALSE) / VLOOKUP("industry|SO2|Infant mortality", US_national_yearly!$D:$AM, 10, FALSE), 1)</f>
        <v>3.3030799924168207E-6</v>
      </c>
      <c r="AB3" s="7">
        <f>$B3 * IFERROR(VLOOKUP("industry|SO2|Infant mortality", US_national_yearly!$D:$AM, 36, FALSE) / VLOOKUP("industry|SO2|Infant mortality", US_national_yearly!$D:$AM, 10, FALSE), 1)</f>
        <v>3.283133436444645E-6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1.0228348410760681E-2</v>
      </c>
      <c r="C6" s="7">
        <f>$B6 * IFERROR(VLOOKUP("industry|SO2|Asthma symptoms cough", US_national_yearly!$D:$AM, 11, FALSE) / VLOOKUP("industry|SO2|Asthma symptoms cough", US_national_yearly!$D:$AM, 10, FALSE), 1)</f>
        <v>1.0228348410760681E-2</v>
      </c>
      <c r="D6" s="7">
        <f>$B6 * IFERROR(VLOOKUP("industry|SO2|Asthma symptoms cough", US_national_yearly!$D:$AM, 12, FALSE) / VLOOKUP("industry|SO2|Asthma symptoms cough", US_national_yearly!$D:$AM, 10, FALSE), 1)</f>
        <v>1.0228348410760681E-2</v>
      </c>
      <c r="E6" s="7">
        <f>$B6 * IFERROR(VLOOKUP("industry|SO2|Asthma symptoms cough", US_national_yearly!$D:$AM, 13, FALSE) / VLOOKUP("industry|SO2|Asthma symptoms cough", US_national_yearly!$D:$AM, 10, FALSE), 1)</f>
        <v>1.0228348410760681E-2</v>
      </c>
      <c r="F6" s="7">
        <f>$B6 * IFERROR(VLOOKUP("industry|SO2|Asthma symptoms cough", US_national_yearly!$D:$AM, 14, FALSE) / VLOOKUP("industry|SO2|Asthma symptoms cough", US_national_yearly!$D:$AM, 10, FALSE), 1)</f>
        <v>1.0228348410760681E-2</v>
      </c>
      <c r="G6" s="7">
        <f>$B6 * IFERROR(VLOOKUP("industry|SO2|Asthma symptoms cough", US_national_yearly!$D:$AM, 15, FALSE) / VLOOKUP("industry|SO2|Asthma symptoms cough", US_national_yearly!$D:$AM, 10, FALSE), 1)</f>
        <v>1.0228348410760681E-2</v>
      </c>
      <c r="H6" s="7">
        <f>$B6 * IFERROR(VLOOKUP("industry|SO2|Asthma symptoms cough", US_national_yearly!$D:$AM, 16, FALSE) / VLOOKUP("industry|SO2|Asthma symptoms cough", US_national_yearly!$D:$AM, 10, FALSE), 1)</f>
        <v>1.0228348410760681E-2</v>
      </c>
      <c r="I6" s="7">
        <f>$B6 * IFERROR(VLOOKUP("industry|SO2|Asthma symptoms cough", US_national_yearly!$D:$AM, 17, FALSE) / VLOOKUP("industry|SO2|Asthma symptoms cough", US_national_yearly!$D:$AM, 10, FALSE), 1)</f>
        <v>1.0228348410760681E-2</v>
      </c>
      <c r="J6" s="7">
        <f>$B6 * IFERROR(VLOOKUP("industry|SO2|Asthma symptoms cough", US_national_yearly!$D:$AM, 18, FALSE) / VLOOKUP("industry|SO2|Asthma symptoms cough", US_national_yearly!$D:$AM, 10, FALSE), 1)</f>
        <v>1.0228348410760681E-2</v>
      </c>
      <c r="K6" s="7">
        <f>$B6 * IFERROR(VLOOKUP("industry|SO2|Asthma symptoms cough", US_national_yearly!$D:$AM, 19, FALSE) / VLOOKUP("industry|SO2|Asthma symptoms cough", US_national_yearly!$D:$AM, 10, FALSE), 1)</f>
        <v>1.0228348410760681E-2</v>
      </c>
      <c r="L6" s="7">
        <f>$B6 * IFERROR(VLOOKUP("industry|SO2|Asthma symptoms cough", US_national_yearly!$D:$AM, 20, FALSE) / VLOOKUP("industry|SO2|Asthma symptoms cough", US_national_yearly!$D:$AM, 10, FALSE), 1)</f>
        <v>1.0228348410760681E-2</v>
      </c>
      <c r="M6" s="7">
        <f>$B6 * IFERROR(VLOOKUP("industry|SO2|Asthma symptoms cough", US_national_yearly!$D:$AM, 21, FALSE) / VLOOKUP("industry|SO2|Asthma symptoms cough", US_national_yearly!$D:$AM, 10, FALSE), 1)</f>
        <v>1.0228348410760681E-2</v>
      </c>
      <c r="N6" s="7">
        <f>$B6 * IFERROR(VLOOKUP("industry|SO2|Asthma symptoms cough", US_national_yearly!$D:$AM, 22, FALSE) / VLOOKUP("industry|SO2|Asthma symptoms cough", US_national_yearly!$D:$AM, 10, FALSE), 1)</f>
        <v>1.0228348410760681E-2</v>
      </c>
      <c r="O6" s="7">
        <f>$B6 * IFERROR(VLOOKUP("industry|SO2|Asthma symptoms cough", US_national_yearly!$D:$AM, 23, FALSE) / VLOOKUP("industry|SO2|Asthma symptoms cough", US_national_yearly!$D:$AM, 10, FALSE), 1)</f>
        <v>1.0228348410760681E-2</v>
      </c>
      <c r="P6" s="7">
        <f>$B6 * IFERROR(VLOOKUP("industry|SO2|Asthma symptoms cough", US_national_yearly!$D:$AM, 24, FALSE) / VLOOKUP("industry|SO2|Asthma symptoms cough", US_national_yearly!$D:$AM, 10, FALSE), 1)</f>
        <v>1.0228348410760681E-2</v>
      </c>
      <c r="Q6" s="7">
        <f>$B6 * IFERROR(VLOOKUP("industry|SO2|Asthma symptoms cough", US_national_yearly!$D:$AM, 25, FALSE) / VLOOKUP("industry|SO2|Asthma symptoms cough", US_national_yearly!$D:$AM, 10, FALSE), 1)</f>
        <v>1.0228348410760681E-2</v>
      </c>
      <c r="R6" s="7">
        <f>$B6 * IFERROR(VLOOKUP("industry|SO2|Asthma symptoms cough", US_national_yearly!$D:$AM, 26, FALSE) / VLOOKUP("industry|SO2|Asthma symptoms cough", US_national_yearly!$D:$AM, 10, FALSE), 1)</f>
        <v>1.0228348410760681E-2</v>
      </c>
      <c r="S6" s="7">
        <f>$B6 * IFERROR(VLOOKUP("industry|SO2|Asthma symptoms cough", US_national_yearly!$D:$AM, 27, FALSE) / VLOOKUP("industry|SO2|Asthma symptoms cough", US_national_yearly!$D:$AM, 10, FALSE), 1)</f>
        <v>1.0228348410760681E-2</v>
      </c>
      <c r="T6" s="7">
        <f>$B6 * IFERROR(VLOOKUP("industry|SO2|Asthma symptoms cough", US_national_yearly!$D:$AM, 28, FALSE) / VLOOKUP("industry|SO2|Asthma symptoms cough", US_national_yearly!$D:$AM, 10, FALSE), 1)</f>
        <v>1.0228348410760681E-2</v>
      </c>
      <c r="U6" s="7">
        <f>$B6 * IFERROR(VLOOKUP("industry|SO2|Asthma symptoms cough", US_national_yearly!$D:$AM, 29, FALSE) / VLOOKUP("industry|SO2|Asthma symptoms cough", US_national_yearly!$D:$AM, 10, FALSE), 1)</f>
        <v>1.0228348410760681E-2</v>
      </c>
      <c r="V6" s="7">
        <f>$B6 * IFERROR(VLOOKUP("industry|SO2|Asthma symptoms cough", US_national_yearly!$D:$AM, 30, FALSE) / VLOOKUP("industry|SO2|Asthma symptoms cough", US_national_yearly!$D:$AM, 10, FALSE), 1)</f>
        <v>1.0228348410760681E-2</v>
      </c>
      <c r="W6" s="7">
        <f>$B6 * IFERROR(VLOOKUP("industry|SO2|Asthma symptoms cough", US_national_yearly!$D:$AM, 31, FALSE) / VLOOKUP("industry|SO2|Asthma symptoms cough", US_national_yearly!$D:$AM, 10, FALSE), 1)</f>
        <v>1.0228348410760681E-2</v>
      </c>
      <c r="X6" s="7">
        <f>$B6 * IFERROR(VLOOKUP("industry|SO2|Asthma symptoms cough", US_national_yearly!$D:$AM, 32, FALSE) / VLOOKUP("industry|SO2|Asthma symptoms cough", US_national_yearly!$D:$AM, 10, FALSE), 1)</f>
        <v>1.0228348410760681E-2</v>
      </c>
      <c r="Y6" s="7">
        <f>$B6 * IFERROR(VLOOKUP("industry|SO2|Asthma symptoms cough", US_national_yearly!$D:$AM, 33, FALSE) / VLOOKUP("industry|SO2|Asthma symptoms cough", US_national_yearly!$D:$AM, 10, FALSE), 1)</f>
        <v>1.0228348410760681E-2</v>
      </c>
      <c r="Z6" s="7">
        <f>$B6 * IFERROR(VLOOKUP("industry|SO2|Asthma symptoms cough", US_national_yearly!$D:$AM, 34, FALSE) / VLOOKUP("industry|SO2|Asthma symptoms cough", US_national_yearly!$D:$AM, 10, FALSE), 1)</f>
        <v>1.0228348410760681E-2</v>
      </c>
      <c r="AA6" s="7">
        <f>$B6 * IFERROR(VLOOKUP("industry|SO2|Asthma symptoms cough", US_national_yearly!$D:$AM, 35, FALSE) / VLOOKUP("industry|SO2|Asthma symptoms cough", US_national_yearly!$D:$AM, 10, FALSE), 1)</f>
        <v>1.0228348410760681E-2</v>
      </c>
      <c r="AB6" s="7">
        <f>$B6 * IFERROR(VLOOKUP("industry|SO2|Asthma symptoms cough", US_national_yearly!$D:$AM, 36, FALSE) / VLOOKUP("industry|SO2|Asthma symptoms cough", US_national_yearly!$D:$AM, 10, FALSE), 1)</f>
        <v>1.0228348410760681E-2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1.3773912630720564E-2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1.3773912630720564E-2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1.3773912630720564E-2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1.3773912630720564E-2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1.3773912630720564E-2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1.3773912630720564E-2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1.3773912630720564E-2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1.3773912630720564E-2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1.3773912630720564E-2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1.3773912630720564E-2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1.3773912630720564E-2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1.3773912630720564E-2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1.3773912630720564E-2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1.3773912630720564E-2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1.3773912630720564E-2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1.3773912630720564E-2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1.3773912630720564E-2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1.3773912630720564E-2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1.3773912630720564E-2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1.3773912630720564E-2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1.3773912630720564E-2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1.3773912630720564E-2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1.3773912630720564E-2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1.3773912630720564E-2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1.3773912630720564E-2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1.3773912630720564E-2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1.3773912630720564E-2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2.1044356406419103E-2</v>
      </c>
      <c r="C8" s="7">
        <f>$B8 * IFERROR(VLOOKUP("industry|SO2|Asthma symptoms wheeze", US_national_yearly!$D:$AM, 11, FALSE) / VLOOKUP("industry|SO2|Asthma symptoms wheeze", US_national_yearly!$D:$AM, 10, FALSE), 1)</f>
        <v>2.1044356406419103E-2</v>
      </c>
      <c r="D8" s="7">
        <f>$B8 * IFERROR(VLOOKUP("industry|SO2|Asthma symptoms wheeze", US_national_yearly!$D:$AM, 12, FALSE) / VLOOKUP("industry|SO2|Asthma symptoms wheeze", US_national_yearly!$D:$AM, 10, FALSE), 1)</f>
        <v>2.1044356406419103E-2</v>
      </c>
      <c r="E8" s="7">
        <f>$B8 * IFERROR(VLOOKUP("industry|SO2|Asthma symptoms wheeze", US_national_yearly!$D:$AM, 13, FALSE) / VLOOKUP("industry|SO2|Asthma symptoms wheeze", US_national_yearly!$D:$AM, 10, FALSE), 1)</f>
        <v>2.1044356406419103E-2</v>
      </c>
      <c r="F8" s="7">
        <f>$B8 * IFERROR(VLOOKUP("industry|SO2|Asthma symptoms wheeze", US_national_yearly!$D:$AM, 14, FALSE) / VLOOKUP("industry|SO2|Asthma symptoms wheeze", US_national_yearly!$D:$AM, 10, FALSE), 1)</f>
        <v>2.1044356406419103E-2</v>
      </c>
      <c r="G8" s="7">
        <f>$B8 * IFERROR(VLOOKUP("industry|SO2|Asthma symptoms wheeze", US_national_yearly!$D:$AM, 15, FALSE) / VLOOKUP("industry|SO2|Asthma symptoms wheeze", US_national_yearly!$D:$AM, 10, FALSE), 1)</f>
        <v>2.1044356406419103E-2</v>
      </c>
      <c r="H8" s="7">
        <f>$B8 * IFERROR(VLOOKUP("industry|SO2|Asthma symptoms wheeze", US_national_yearly!$D:$AM, 16, FALSE) / VLOOKUP("industry|SO2|Asthma symptoms wheeze", US_national_yearly!$D:$AM, 10, FALSE), 1)</f>
        <v>2.1044356406419103E-2</v>
      </c>
      <c r="I8" s="7">
        <f>$B8 * IFERROR(VLOOKUP("industry|SO2|Asthma symptoms wheeze", US_national_yearly!$D:$AM, 17, FALSE) / VLOOKUP("industry|SO2|Asthma symptoms wheeze", US_national_yearly!$D:$AM, 10, FALSE), 1)</f>
        <v>2.1044356406419103E-2</v>
      </c>
      <c r="J8" s="7">
        <f>$B8 * IFERROR(VLOOKUP("industry|SO2|Asthma symptoms wheeze", US_national_yearly!$D:$AM, 18, FALSE) / VLOOKUP("industry|SO2|Asthma symptoms wheeze", US_national_yearly!$D:$AM, 10, FALSE), 1)</f>
        <v>2.1044356406419103E-2</v>
      </c>
      <c r="K8" s="7">
        <f>$B8 * IFERROR(VLOOKUP("industry|SO2|Asthma symptoms wheeze", US_national_yearly!$D:$AM, 19, FALSE) / VLOOKUP("industry|SO2|Asthma symptoms wheeze", US_national_yearly!$D:$AM, 10, FALSE), 1)</f>
        <v>2.1044356406419103E-2</v>
      </c>
      <c r="L8" s="7">
        <f>$B8 * IFERROR(VLOOKUP("industry|SO2|Asthma symptoms wheeze", US_national_yearly!$D:$AM, 20, FALSE) / VLOOKUP("industry|SO2|Asthma symptoms wheeze", US_national_yearly!$D:$AM, 10, FALSE), 1)</f>
        <v>2.1044356406419103E-2</v>
      </c>
      <c r="M8" s="7">
        <f>$B8 * IFERROR(VLOOKUP("industry|SO2|Asthma symptoms wheeze", US_national_yearly!$D:$AM, 21, FALSE) / VLOOKUP("industry|SO2|Asthma symptoms wheeze", US_national_yearly!$D:$AM, 10, FALSE), 1)</f>
        <v>2.1044356406419103E-2</v>
      </c>
      <c r="N8" s="7">
        <f>$B8 * IFERROR(VLOOKUP("industry|SO2|Asthma symptoms wheeze", US_national_yearly!$D:$AM, 22, FALSE) / VLOOKUP("industry|SO2|Asthma symptoms wheeze", US_national_yearly!$D:$AM, 10, FALSE), 1)</f>
        <v>2.1044356406419103E-2</v>
      </c>
      <c r="O8" s="7">
        <f>$B8 * IFERROR(VLOOKUP("industry|SO2|Asthma symptoms wheeze", US_national_yearly!$D:$AM, 23, FALSE) / VLOOKUP("industry|SO2|Asthma symptoms wheeze", US_national_yearly!$D:$AM, 10, FALSE), 1)</f>
        <v>2.1044356406419103E-2</v>
      </c>
      <c r="P8" s="7">
        <f>$B8 * IFERROR(VLOOKUP("industry|SO2|Asthma symptoms wheeze", US_national_yearly!$D:$AM, 24, FALSE) / VLOOKUP("industry|SO2|Asthma symptoms wheeze", US_national_yearly!$D:$AM, 10, FALSE), 1)</f>
        <v>2.1044356406419103E-2</v>
      </c>
      <c r="Q8" s="7">
        <f>$B8 * IFERROR(VLOOKUP("industry|SO2|Asthma symptoms wheeze", US_national_yearly!$D:$AM, 25, FALSE) / VLOOKUP("industry|SO2|Asthma symptoms wheeze", US_national_yearly!$D:$AM, 10, FALSE), 1)</f>
        <v>2.1044356406419103E-2</v>
      </c>
      <c r="R8" s="7">
        <f>$B8 * IFERROR(VLOOKUP("industry|SO2|Asthma symptoms wheeze", US_national_yearly!$D:$AM, 26, FALSE) / VLOOKUP("industry|SO2|Asthma symptoms wheeze", US_national_yearly!$D:$AM, 10, FALSE), 1)</f>
        <v>2.1044356406419103E-2</v>
      </c>
      <c r="S8" s="7">
        <f>$B8 * IFERROR(VLOOKUP("industry|SO2|Asthma symptoms wheeze", US_national_yearly!$D:$AM, 27, FALSE) / VLOOKUP("industry|SO2|Asthma symptoms wheeze", US_national_yearly!$D:$AM, 10, FALSE), 1)</f>
        <v>2.1044356406419103E-2</v>
      </c>
      <c r="T8" s="7">
        <f>$B8 * IFERROR(VLOOKUP("industry|SO2|Asthma symptoms wheeze", US_national_yearly!$D:$AM, 28, FALSE) / VLOOKUP("industry|SO2|Asthma symptoms wheeze", US_national_yearly!$D:$AM, 10, FALSE), 1)</f>
        <v>2.1044356406419103E-2</v>
      </c>
      <c r="U8" s="7">
        <f>$B8 * IFERROR(VLOOKUP("industry|SO2|Asthma symptoms wheeze", US_national_yearly!$D:$AM, 29, FALSE) / VLOOKUP("industry|SO2|Asthma symptoms wheeze", US_national_yearly!$D:$AM, 10, FALSE), 1)</f>
        <v>2.1044356406419103E-2</v>
      </c>
      <c r="V8" s="7">
        <f>$B8 * IFERROR(VLOOKUP("industry|SO2|Asthma symptoms wheeze", US_national_yearly!$D:$AM, 30, FALSE) / VLOOKUP("industry|SO2|Asthma symptoms wheeze", US_national_yearly!$D:$AM, 10, FALSE), 1)</f>
        <v>2.1044356406419103E-2</v>
      </c>
      <c r="W8" s="7">
        <f>$B8 * IFERROR(VLOOKUP("industry|SO2|Asthma symptoms wheeze", US_national_yearly!$D:$AM, 31, FALSE) / VLOOKUP("industry|SO2|Asthma symptoms wheeze", US_national_yearly!$D:$AM, 10, FALSE), 1)</f>
        <v>2.1044356406419103E-2</v>
      </c>
      <c r="X8" s="7">
        <f>$B8 * IFERROR(VLOOKUP("industry|SO2|Asthma symptoms wheeze", US_national_yearly!$D:$AM, 32, FALSE) / VLOOKUP("industry|SO2|Asthma symptoms wheeze", US_national_yearly!$D:$AM, 10, FALSE), 1)</f>
        <v>2.1044356406419103E-2</v>
      </c>
      <c r="Y8" s="7">
        <f>$B8 * IFERROR(VLOOKUP("industry|SO2|Asthma symptoms wheeze", US_national_yearly!$D:$AM, 33, FALSE) / VLOOKUP("industry|SO2|Asthma symptoms wheeze", US_national_yearly!$D:$AM, 10, FALSE), 1)</f>
        <v>2.1044356406419103E-2</v>
      </c>
      <c r="Z8" s="7">
        <f>$B8 * IFERROR(VLOOKUP("industry|SO2|Asthma symptoms wheeze", US_national_yearly!$D:$AM, 34, FALSE) / VLOOKUP("industry|SO2|Asthma symptoms wheeze", US_national_yearly!$D:$AM, 10, FALSE), 1)</f>
        <v>2.1044356406419103E-2</v>
      </c>
      <c r="AA8" s="7">
        <f>$B8 * IFERROR(VLOOKUP("industry|SO2|Asthma symptoms wheeze", US_national_yearly!$D:$AM, 35, FALSE) / VLOOKUP("industry|SO2|Asthma symptoms wheeze", US_national_yearly!$D:$AM, 10, FALSE), 1)</f>
        <v>2.1044356406419103E-2</v>
      </c>
      <c r="AB8" s="7">
        <f>$B8 * IFERROR(VLOOKUP("industry|SO2|Asthma symptoms wheeze", US_national_yearly!$D:$AM, 36, FALSE) / VLOOKUP("industry|SO2|Asthma symptoms wheeze", US_national_yearly!$D:$AM, 10, FALSE), 1)</f>
        <v>2.1044356406419103E-2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3.2200660513046246E-4</v>
      </c>
      <c r="C12" s="7">
        <f>$B12 * IFERROR(VLOOKUP("industry|SO2|Respiratory hospital admissions", US_national_yearly!$D:$AM, 11, FALSE) / VLOOKUP("industry|SO2|Respiratory hospital admissions", US_national_yearly!$D:$AM, 10, FALSE), 1)</f>
        <v>3.2389294910930774E-4</v>
      </c>
      <c r="D12" s="7">
        <f>$B12 * IFERROR(VLOOKUP("industry|SO2|Respiratory hospital admissions", US_national_yearly!$D:$AM, 12, FALSE) / VLOOKUP("industry|SO2|Respiratory hospital admissions", US_national_yearly!$D:$AM, 10, FALSE), 1)</f>
        <v>3.2577929308815308E-4</v>
      </c>
      <c r="E12" s="7">
        <f>$B12 * IFERROR(VLOOKUP("industry|SO2|Respiratory hospital admissions", US_national_yearly!$D:$AM, 13, FALSE) / VLOOKUP("industry|SO2|Respiratory hospital admissions", US_national_yearly!$D:$AM, 10, FALSE), 1)</f>
        <v>3.2766563706699837E-4</v>
      </c>
      <c r="F12" s="7">
        <f>$B12 * IFERROR(VLOOKUP("industry|SO2|Respiratory hospital admissions", US_national_yearly!$D:$AM, 14, FALSE) / VLOOKUP("industry|SO2|Respiratory hospital admissions", US_national_yearly!$D:$AM, 10, FALSE), 1)</f>
        <v>3.2955198104584371E-4</v>
      </c>
      <c r="G12" s="7">
        <f>$B12 * IFERROR(VLOOKUP("industry|SO2|Respiratory hospital admissions", US_national_yearly!$D:$AM, 15, FALSE) / VLOOKUP("industry|SO2|Respiratory hospital admissions", US_national_yearly!$D:$AM, 10, FALSE), 1)</f>
        <v>3.3160846088127851E-4</v>
      </c>
      <c r="H12" s="7">
        <f>$B12 * IFERROR(VLOOKUP("industry|SO2|Respiratory hospital admissions", US_national_yearly!$D:$AM, 16, FALSE) / VLOOKUP("industry|SO2|Respiratory hospital admissions", US_national_yearly!$D:$AM, 10, FALSE), 1)</f>
        <v>3.3366494071671325E-4</v>
      </c>
      <c r="I12" s="7">
        <f>$B12 * IFERROR(VLOOKUP("industry|SO2|Respiratory hospital admissions", US_national_yearly!$D:$AM, 17, FALSE) / VLOOKUP("industry|SO2|Respiratory hospital admissions", US_national_yearly!$D:$AM, 10, FALSE), 1)</f>
        <v>3.3568474111841533E-4</v>
      </c>
      <c r="J12" s="7">
        <f>$B12 * IFERROR(VLOOKUP("industry|SO2|Respiratory hospital admissions", US_national_yearly!$D:$AM, 18, FALSE) / VLOOKUP("industry|SO2|Respiratory hospital admissions", US_national_yearly!$D:$AM, 10, FALSE), 1)</f>
        <v>3.3770454152011735E-4</v>
      </c>
      <c r="K12" s="7">
        <f>$B12 * IFERROR(VLOOKUP("industry|SO2|Respiratory hospital admissions", US_national_yearly!$D:$AM, 19, FALSE) / VLOOKUP("industry|SO2|Respiratory hospital admissions", US_national_yearly!$D:$AM, 10, FALSE), 1)</f>
        <v>3.3972434192181938E-4</v>
      </c>
      <c r="L12" s="7">
        <f>$B12 * IFERROR(VLOOKUP("industry|SO2|Respiratory hospital admissions", US_national_yearly!$D:$AM, 20, FALSE) / VLOOKUP("industry|SO2|Respiratory hospital admissions", US_national_yearly!$D:$AM, 10, FALSE), 1)</f>
        <v>3.417441423235214E-4</v>
      </c>
      <c r="M12" s="7">
        <f>$B12 * IFERROR(VLOOKUP("industry|SO2|Respiratory hospital admissions", US_national_yearly!$D:$AM, 21, FALSE) / VLOOKUP("industry|SO2|Respiratory hospital admissions", US_national_yearly!$D:$AM, 10, FALSE), 1)</f>
        <v>3.4376394272522348E-4</v>
      </c>
      <c r="N12" s="7">
        <f>$B12 * IFERROR(VLOOKUP("industry|SO2|Respiratory hospital admissions", US_national_yearly!$D:$AM, 22, FALSE) / VLOOKUP("industry|SO2|Respiratory hospital admissions", US_national_yearly!$D:$AM, 10, FALSE), 1)</f>
        <v>3.4522549872484924E-4</v>
      </c>
      <c r="O12" s="7">
        <f>$B12 * IFERROR(VLOOKUP("industry|SO2|Respiratory hospital admissions", US_national_yearly!$D:$AM, 23, FALSE) / VLOOKUP("industry|SO2|Respiratory hospital admissions", US_national_yearly!$D:$AM, 10, FALSE), 1)</f>
        <v>3.4668705472447493E-4</v>
      </c>
      <c r="P12" s="7">
        <f>$B12 * IFERROR(VLOOKUP("industry|SO2|Respiratory hospital admissions", US_national_yearly!$D:$AM, 24, FALSE) / VLOOKUP("industry|SO2|Respiratory hospital admissions", US_national_yearly!$D:$AM, 10, FALSE), 1)</f>
        <v>3.4814861072410063E-4</v>
      </c>
      <c r="Q12" s="7">
        <f>$B12 * IFERROR(VLOOKUP("industry|SO2|Respiratory hospital admissions", US_national_yearly!$D:$AM, 25, FALSE) / VLOOKUP("industry|SO2|Respiratory hospital admissions", US_national_yearly!$D:$AM, 10, FALSE), 1)</f>
        <v>3.4961016672372633E-4</v>
      </c>
      <c r="R12" s="7">
        <f>$B12 * IFERROR(VLOOKUP("industry|SO2|Respiratory hospital admissions", US_national_yearly!$D:$AM, 26, FALSE) / VLOOKUP("industry|SO2|Respiratory hospital admissions", US_national_yearly!$D:$AM, 10, FALSE), 1)</f>
        <v>3.5107172272335198E-4</v>
      </c>
      <c r="S12" s="7">
        <f>$B12 * IFERROR(VLOOKUP("industry|SO2|Respiratory hospital admissions", US_national_yearly!$D:$AM, 27, FALSE) / VLOOKUP("industry|SO2|Respiratory hospital admissions", US_national_yearly!$D:$AM, 10, FALSE), 1)</f>
        <v>3.5246070829116354E-4</v>
      </c>
      <c r="T12" s="7">
        <f>$B12 * IFERROR(VLOOKUP("industry|SO2|Respiratory hospital admissions", US_national_yearly!$D:$AM, 28, FALSE) / VLOOKUP("industry|SO2|Respiratory hospital admissions", US_national_yearly!$D:$AM, 10, FALSE), 1)</f>
        <v>3.5384969385897504E-4</v>
      </c>
      <c r="U12" s="7">
        <f>$B12 * IFERROR(VLOOKUP("industry|SO2|Respiratory hospital admissions", US_national_yearly!$D:$AM, 29, FALSE) / VLOOKUP("industry|SO2|Respiratory hospital admissions", US_national_yearly!$D:$AM, 10, FALSE), 1)</f>
        <v>3.5523867942678655E-4</v>
      </c>
      <c r="V12" s="7">
        <f>$B12 * IFERROR(VLOOKUP("industry|SO2|Respiratory hospital admissions", US_national_yearly!$D:$AM, 30, FALSE) / VLOOKUP("industry|SO2|Respiratory hospital admissions", US_national_yearly!$D:$AM, 10, FALSE), 1)</f>
        <v>3.5662766499459811E-4</v>
      </c>
      <c r="W12" s="7">
        <f>$B12 * IFERROR(VLOOKUP("industry|SO2|Respiratory hospital admissions", US_national_yearly!$D:$AM, 31, FALSE) / VLOOKUP("industry|SO2|Respiratory hospital admissions", US_national_yearly!$D:$AM, 10, FALSE), 1)</f>
        <v>3.5801665056240956E-4</v>
      </c>
      <c r="X12" s="7">
        <f>$B12 * IFERROR(VLOOKUP("industry|SO2|Respiratory hospital admissions", US_national_yearly!$D:$AM, 32, FALSE) / VLOOKUP("industry|SO2|Respiratory hospital admissions", US_national_yearly!$D:$AM, 10, FALSE), 1)</f>
        <v>3.5933565212278813E-4</v>
      </c>
      <c r="Y12" s="7">
        <f>$B12 * IFERROR(VLOOKUP("industry|SO2|Respiratory hospital admissions", US_national_yearly!$D:$AM, 33, FALSE) / VLOOKUP("industry|SO2|Respiratory hospital admissions", US_national_yearly!$D:$AM, 10, FALSE), 1)</f>
        <v>3.6065465368316675E-4</v>
      </c>
      <c r="Z12" s="7">
        <f>$B12 * IFERROR(VLOOKUP("industry|SO2|Respiratory hospital admissions", US_national_yearly!$D:$AM, 34, FALSE) / VLOOKUP("industry|SO2|Respiratory hospital admissions", US_national_yearly!$D:$AM, 10, FALSE), 1)</f>
        <v>3.6197365524354527E-4</v>
      </c>
      <c r="AA12" s="7">
        <f>$B12 * IFERROR(VLOOKUP("industry|SO2|Respiratory hospital admissions", US_national_yearly!$D:$AM, 35, FALSE) / VLOOKUP("industry|SO2|Respiratory hospital admissions", US_national_yearly!$D:$AM, 10, FALSE), 1)</f>
        <v>3.6329265680392383E-4</v>
      </c>
      <c r="AB12" s="7">
        <f>$B12 * IFERROR(VLOOKUP("industry|SO2|Respiratory hospital admissions", US_national_yearly!$D:$AM, 36, FALSE) / VLOOKUP("industry|SO2|Respiratory hospital admissions", US_national_yearly!$D:$AM, 10, FALSE), 1)</f>
        <v>3.646116583643024E-4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1.9538370785588013E-3</v>
      </c>
      <c r="C13" s="7">
        <f>$B13 * IFERROR(VLOOKUP("industry|SO2|Non-fatal heart attacks", US_national_yearly!$D:$AM, 11, FALSE) / VLOOKUP("industry|SO2|Non-fatal heart attacks", US_national_yearly!$D:$AM, 10, FALSE), 1)</f>
        <v>2.0111944084221819E-3</v>
      </c>
      <c r="D13" s="7">
        <f>$B13 * IFERROR(VLOOKUP("industry|SO2|Non-fatal heart attacks", US_national_yearly!$D:$AM, 12, FALSE) / VLOOKUP("industry|SO2|Non-fatal heart attacks", US_national_yearly!$D:$AM, 10, FALSE), 1)</f>
        <v>2.0685517382855621E-3</v>
      </c>
      <c r="E13" s="7">
        <f>$B13 * IFERROR(VLOOKUP("industry|SO2|Non-fatal heart attacks", US_national_yearly!$D:$AM, 13, FALSE) / VLOOKUP("industry|SO2|Non-fatal heart attacks", US_national_yearly!$D:$AM, 10, FALSE), 1)</f>
        <v>2.1259090681489423E-3</v>
      </c>
      <c r="F13" s="7">
        <f>$B13 * IFERROR(VLOOKUP("industry|SO2|Non-fatal heart attacks", US_national_yearly!$D:$AM, 14, FALSE) / VLOOKUP("industry|SO2|Non-fatal heart attacks", US_national_yearly!$D:$AM, 10, FALSE), 1)</f>
        <v>2.1832663980123233E-3</v>
      </c>
      <c r="G13" s="7">
        <f>$B13 * IFERROR(VLOOKUP("industry|SO2|Non-fatal heart attacks", US_national_yearly!$D:$AM, 15, FALSE) / VLOOKUP("industry|SO2|Non-fatal heart attacks", US_national_yearly!$D:$AM, 10, FALSE), 1)</f>
        <v>2.2373956494298203E-3</v>
      </c>
      <c r="H13" s="7">
        <f>$B13 * IFERROR(VLOOKUP("industry|SO2|Non-fatal heart attacks", US_national_yearly!$D:$AM, 16, FALSE) / VLOOKUP("industry|SO2|Non-fatal heart attacks", US_national_yearly!$D:$AM, 10, FALSE), 1)</f>
        <v>2.2915249008473178E-3</v>
      </c>
      <c r="I13" s="7">
        <f>$B13 * IFERROR(VLOOKUP("industry|SO2|Non-fatal heart attacks", US_national_yearly!$D:$AM, 17, FALSE) / VLOOKUP("industry|SO2|Non-fatal heart attacks", US_national_yearly!$D:$AM, 10, FALSE), 1)</f>
        <v>2.3351624469410146E-3</v>
      </c>
      <c r="J13" s="7">
        <f>$B13 * IFERROR(VLOOKUP("industry|SO2|Non-fatal heart attacks", US_national_yearly!$D:$AM, 18, FALSE) / VLOOKUP("industry|SO2|Non-fatal heart attacks", US_national_yearly!$D:$AM, 10, FALSE), 1)</f>
        <v>2.3787999930347118E-3</v>
      </c>
      <c r="K13" s="7">
        <f>$B13 * IFERROR(VLOOKUP("industry|SO2|Non-fatal heart attacks", US_national_yearly!$D:$AM, 19, FALSE) / VLOOKUP("industry|SO2|Non-fatal heart attacks", US_national_yearly!$D:$AM, 10, FALSE), 1)</f>
        <v>2.422437539128409E-3</v>
      </c>
      <c r="L13" s="7">
        <f>$B13 * IFERROR(VLOOKUP("industry|SO2|Non-fatal heart attacks", US_national_yearly!$D:$AM, 20, FALSE) / VLOOKUP("industry|SO2|Non-fatal heart attacks", US_national_yearly!$D:$AM, 10, FALSE), 1)</f>
        <v>2.4660750852221061E-3</v>
      </c>
      <c r="M13" s="7">
        <f>$B13 * IFERROR(VLOOKUP("industry|SO2|Non-fatal heart attacks", US_national_yearly!$D:$AM, 21, FALSE) / VLOOKUP("industry|SO2|Non-fatal heart attacks", US_national_yearly!$D:$AM, 10, FALSE), 1)</f>
        <v>2.5097126313158029E-3</v>
      </c>
      <c r="N13" s="7">
        <f>$B13 * IFERROR(VLOOKUP("industry|SO2|Non-fatal heart attacks", US_national_yearly!$D:$AM, 22, FALSE) / VLOOKUP("industry|SO2|Non-fatal heart attacks", US_national_yearly!$D:$AM, 10, FALSE), 1)</f>
        <v>2.5380619060886619E-3</v>
      </c>
      <c r="O13" s="7">
        <f>$B13 * IFERROR(VLOOKUP("industry|SO2|Non-fatal heart attacks", US_national_yearly!$D:$AM, 23, FALSE) / VLOOKUP("industry|SO2|Non-fatal heart attacks", US_national_yearly!$D:$AM, 10, FALSE), 1)</f>
        <v>2.5664111808615217E-3</v>
      </c>
      <c r="P13" s="7">
        <f>$B13 * IFERROR(VLOOKUP("industry|SO2|Non-fatal heart attacks", US_national_yearly!$D:$AM, 24, FALSE) / VLOOKUP("industry|SO2|Non-fatal heart attacks", US_national_yearly!$D:$AM, 10, FALSE), 1)</f>
        <v>2.5947604556343811E-3</v>
      </c>
      <c r="Q13" s="7">
        <f>$B13 * IFERROR(VLOOKUP("industry|SO2|Non-fatal heart attacks", US_national_yearly!$D:$AM, 25, FALSE) / VLOOKUP("industry|SO2|Non-fatal heart attacks", US_national_yearly!$D:$AM, 10, FALSE), 1)</f>
        <v>2.6231097304072401E-3</v>
      </c>
      <c r="R13" s="7">
        <f>$B13 * IFERROR(VLOOKUP("industry|SO2|Non-fatal heart attacks", US_national_yearly!$D:$AM, 26, FALSE) / VLOOKUP("industry|SO2|Non-fatal heart attacks", US_national_yearly!$D:$AM, 10, FALSE), 1)</f>
        <v>2.6514590051800995E-3</v>
      </c>
      <c r="S13" s="7">
        <f>$B13 * IFERROR(VLOOKUP("industry|SO2|Non-fatal heart attacks", US_national_yearly!$D:$AM, 27, FALSE) / VLOOKUP("industry|SO2|Non-fatal heart attacks", US_national_yearly!$D:$AM, 10, FALSE), 1)</f>
        <v>2.6663484611092695E-3</v>
      </c>
      <c r="T13" s="7">
        <f>$B13 * IFERROR(VLOOKUP("industry|SO2|Non-fatal heart attacks", US_national_yearly!$D:$AM, 28, FALSE) / VLOOKUP("industry|SO2|Non-fatal heart attacks", US_national_yearly!$D:$AM, 10, FALSE), 1)</f>
        <v>2.6812379170384395E-3</v>
      </c>
      <c r="U13" s="7">
        <f>$B13 * IFERROR(VLOOKUP("industry|SO2|Non-fatal heart attacks", US_national_yearly!$D:$AM, 29, FALSE) / VLOOKUP("industry|SO2|Non-fatal heart attacks", US_national_yearly!$D:$AM, 10, FALSE), 1)</f>
        <v>2.696127372967609E-3</v>
      </c>
      <c r="V13" s="7">
        <f>$B13 * IFERROR(VLOOKUP("industry|SO2|Non-fatal heart attacks", US_national_yearly!$D:$AM, 30, FALSE) / VLOOKUP("industry|SO2|Non-fatal heart attacks", US_national_yearly!$D:$AM, 10, FALSE), 1)</f>
        <v>2.711016828896779E-3</v>
      </c>
      <c r="W13" s="7">
        <f>$B13 * IFERROR(VLOOKUP("industry|SO2|Non-fatal heart attacks", US_national_yearly!$D:$AM, 31, FALSE) / VLOOKUP("industry|SO2|Non-fatal heart attacks", US_national_yearly!$D:$AM, 10, FALSE), 1)</f>
        <v>2.725906284825949E-3</v>
      </c>
      <c r="X13" s="7">
        <f>$B13 * IFERROR(VLOOKUP("industry|SO2|Non-fatal heart attacks", US_national_yearly!$D:$AM, 32, FALSE) / VLOOKUP("industry|SO2|Non-fatal heart attacks", US_national_yearly!$D:$AM, 10, FALSE), 1)</f>
        <v>2.7372143969376641E-3</v>
      </c>
      <c r="Y13" s="7">
        <f>$B13 * IFERROR(VLOOKUP("industry|SO2|Non-fatal heart attacks", US_national_yearly!$D:$AM, 33, FALSE) / VLOOKUP("industry|SO2|Non-fatal heart attacks", US_national_yearly!$D:$AM, 10, FALSE), 1)</f>
        <v>2.7485225090493792E-3</v>
      </c>
      <c r="Z13" s="7">
        <f>$B13 * IFERROR(VLOOKUP("industry|SO2|Non-fatal heart attacks", US_national_yearly!$D:$AM, 34, FALSE) / VLOOKUP("industry|SO2|Non-fatal heart attacks", US_national_yearly!$D:$AM, 10, FALSE), 1)</f>
        <v>2.7598306211610939E-3</v>
      </c>
      <c r="AA13" s="7">
        <f>$B13 * IFERROR(VLOOKUP("industry|SO2|Non-fatal heart attacks", US_national_yearly!$D:$AM, 35, FALSE) / VLOOKUP("industry|SO2|Non-fatal heart attacks", US_national_yearly!$D:$AM, 10, FALSE), 1)</f>
        <v>2.7711387332728095E-3</v>
      </c>
      <c r="AB13" s="7">
        <f>$B13 * IFERROR(VLOOKUP("industry|SO2|Non-fatal heart attacks", US_national_yearly!$D:$AM, 36, FALSE) / VLOOKUP("industry|SO2|Non-fatal heart attacks", US_national_yearly!$D:$AM, 10, FALSE), 1)</f>
        <v>2.7824468453845246E-3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1.3279658205466061</v>
      </c>
      <c r="C14" s="7">
        <f>$B14 * IFERROR(VLOOKUP("industry|SO2|Minor restricted activity days", US_national_yearly!$D:$AM, 11, FALSE) / VLOOKUP("industry|SO2|Minor restricted activity days", US_national_yearly!$D:$AM, 10, FALSE), 1)</f>
        <v>1.3312875797032828</v>
      </c>
      <c r="D14" s="7">
        <f>$B14 * IFERROR(VLOOKUP("industry|SO2|Minor restricted activity days", US_national_yearly!$D:$AM, 12, FALSE) / VLOOKUP("industry|SO2|Minor restricted activity days", US_national_yearly!$D:$AM, 10, FALSE), 1)</f>
        <v>1.3346093388599594</v>
      </c>
      <c r="E14" s="7">
        <f>$B14 * IFERROR(VLOOKUP("industry|SO2|Minor restricted activity days", US_national_yearly!$D:$AM, 13, FALSE) / VLOOKUP("industry|SO2|Minor restricted activity days", US_national_yearly!$D:$AM, 10, FALSE), 1)</f>
        <v>1.3379310980166363</v>
      </c>
      <c r="F14" s="7">
        <f>$B14 * IFERROR(VLOOKUP("industry|SO2|Minor restricted activity days", US_national_yearly!$D:$AM, 14, FALSE) / VLOOKUP("industry|SO2|Minor restricted activity days", US_national_yearly!$D:$AM, 10, FALSE), 1)</f>
        <v>1.3412528571733131</v>
      </c>
      <c r="G14" s="7">
        <f>$B14 * IFERROR(VLOOKUP("industry|SO2|Minor restricted activity days", US_national_yearly!$D:$AM, 15, FALSE) / VLOOKUP("industry|SO2|Minor restricted activity days", US_national_yearly!$D:$AM, 10, FALSE), 1)</f>
        <v>1.3461394814142016</v>
      </c>
      <c r="H14" s="7">
        <f>$B14 * IFERROR(VLOOKUP("industry|SO2|Minor restricted activity days", US_national_yearly!$D:$AM, 16, FALSE) / VLOOKUP("industry|SO2|Minor restricted activity days", US_national_yearly!$D:$AM, 10, FALSE), 1)</f>
        <v>1.3510261056550896</v>
      </c>
      <c r="I14" s="7">
        <f>$B14 * IFERROR(VLOOKUP("industry|SO2|Minor restricted activity days", US_national_yearly!$D:$AM, 17, FALSE) / VLOOKUP("industry|SO2|Minor restricted activity days", US_national_yearly!$D:$AM, 10, FALSE), 1)</f>
        <v>1.3593592780781922</v>
      </c>
      <c r="J14" s="7">
        <f>$B14 * IFERROR(VLOOKUP("industry|SO2|Minor restricted activity days", US_national_yearly!$D:$AM, 18, FALSE) / VLOOKUP("industry|SO2|Minor restricted activity days", US_national_yearly!$D:$AM, 10, FALSE), 1)</f>
        <v>1.3676924505012948</v>
      </c>
      <c r="K14" s="7">
        <f>$B14 * IFERROR(VLOOKUP("industry|SO2|Minor restricted activity days", US_national_yearly!$D:$AM, 19, FALSE) / VLOOKUP("industry|SO2|Minor restricted activity days", US_national_yearly!$D:$AM, 10, FALSE), 1)</f>
        <v>1.3760256229243975</v>
      </c>
      <c r="L14" s="7">
        <f>$B14 * IFERROR(VLOOKUP("industry|SO2|Minor restricted activity days", US_national_yearly!$D:$AM, 20, FALSE) / VLOOKUP("industry|SO2|Minor restricted activity days", US_national_yearly!$D:$AM, 10, FALSE), 1)</f>
        <v>1.3843587953475001</v>
      </c>
      <c r="M14" s="7">
        <f>$B14 * IFERROR(VLOOKUP("industry|SO2|Minor restricted activity days", US_national_yearly!$D:$AM, 21, FALSE) / VLOOKUP("industry|SO2|Minor restricted activity days", US_national_yearly!$D:$AM, 10, FALSE), 1)</f>
        <v>1.3926919677706027</v>
      </c>
      <c r="N14" s="7">
        <f>$B14 * IFERROR(VLOOKUP("industry|SO2|Minor restricted activity days", US_national_yearly!$D:$AM, 22, FALSE) / VLOOKUP("industry|SO2|Minor restricted activity days", US_national_yearly!$D:$AM, 10, FALSE), 1)</f>
        <v>1.4041177493701436</v>
      </c>
      <c r="O14" s="7">
        <f>$B14 * IFERROR(VLOOKUP("industry|SO2|Minor restricted activity days", US_national_yearly!$D:$AM, 23, FALSE) / VLOOKUP("industry|SO2|Minor restricted activity days", US_national_yearly!$D:$AM, 10, FALSE), 1)</f>
        <v>1.4155435309696842</v>
      </c>
      <c r="P14" s="7">
        <f>$B14 * IFERROR(VLOOKUP("industry|SO2|Minor restricted activity days", US_national_yearly!$D:$AM, 24, FALSE) / VLOOKUP("industry|SO2|Minor restricted activity days", US_national_yearly!$D:$AM, 10, FALSE), 1)</f>
        <v>1.4269693125692251</v>
      </c>
      <c r="Q14" s="7">
        <f>$B14 * IFERROR(VLOOKUP("industry|SO2|Minor restricted activity days", US_national_yearly!$D:$AM, 25, FALSE) / VLOOKUP("industry|SO2|Minor restricted activity days", US_national_yearly!$D:$AM, 10, FALSE), 1)</f>
        <v>1.4383950941687662</v>
      </c>
      <c r="R14" s="7">
        <f>$B14 * IFERROR(VLOOKUP("industry|SO2|Minor restricted activity days", US_national_yearly!$D:$AM, 26, FALSE) / VLOOKUP("industry|SO2|Minor restricted activity days", US_national_yearly!$D:$AM, 10, FALSE), 1)</f>
        <v>1.4498208757683069</v>
      </c>
      <c r="S14" s="7">
        <f>$B14 * IFERROR(VLOOKUP("industry|SO2|Minor restricted activity days", US_national_yearly!$D:$AM, 27, FALSE) / VLOOKUP("industry|SO2|Minor restricted activity days", US_national_yearly!$D:$AM, 10, FALSE), 1)</f>
        <v>1.4614818086594297</v>
      </c>
      <c r="T14" s="7">
        <f>$B14 * IFERROR(VLOOKUP("industry|SO2|Minor restricted activity days", US_national_yearly!$D:$AM, 28, FALSE) / VLOOKUP("industry|SO2|Minor restricted activity days", US_national_yearly!$D:$AM, 10, FALSE), 1)</f>
        <v>1.4731427415505527</v>
      </c>
      <c r="U14" s="7">
        <f>$B14 * IFERROR(VLOOKUP("industry|SO2|Minor restricted activity days", US_national_yearly!$D:$AM, 29, FALSE) / VLOOKUP("industry|SO2|Minor restricted activity days", US_national_yearly!$D:$AM, 10, FALSE), 1)</f>
        <v>1.4848036744416755</v>
      </c>
      <c r="V14" s="7">
        <f>$B14 * IFERROR(VLOOKUP("industry|SO2|Minor restricted activity days", US_national_yearly!$D:$AM, 30, FALSE) / VLOOKUP("industry|SO2|Minor restricted activity days", US_national_yearly!$D:$AM, 10, FALSE), 1)</f>
        <v>1.4964646073327985</v>
      </c>
      <c r="W14" s="7">
        <f>$B14 * IFERROR(VLOOKUP("industry|SO2|Minor restricted activity days", US_national_yearly!$D:$AM, 31, FALSE) / VLOOKUP("industry|SO2|Minor restricted activity days", US_national_yearly!$D:$AM, 10, FALSE), 1)</f>
        <v>1.5081255402239213</v>
      </c>
      <c r="X14" s="7">
        <f>$B14 * IFERROR(VLOOKUP("industry|SO2|Minor restricted activity days", US_national_yearly!$D:$AM, 32, FALSE) / VLOOKUP("industry|SO2|Minor restricted activity days", US_national_yearly!$D:$AM, 10, FALSE), 1)</f>
        <v>1.5183789064803221</v>
      </c>
      <c r="Y14" s="7">
        <f>$B14 * IFERROR(VLOOKUP("industry|SO2|Minor restricted activity days", US_national_yearly!$D:$AM, 33, FALSE) / VLOOKUP("industry|SO2|Minor restricted activity days", US_national_yearly!$D:$AM, 10, FALSE), 1)</f>
        <v>1.5286322727367228</v>
      </c>
      <c r="Z14" s="7">
        <f>$B14 * IFERROR(VLOOKUP("industry|SO2|Minor restricted activity days", US_national_yearly!$D:$AM, 34, FALSE) / VLOOKUP("industry|SO2|Minor restricted activity days", US_national_yearly!$D:$AM, 10, FALSE), 1)</f>
        <v>1.5388856389931234</v>
      </c>
      <c r="AA14" s="7">
        <f>$B14 * IFERROR(VLOOKUP("industry|SO2|Minor restricted activity days", US_national_yearly!$D:$AM, 35, FALSE) / VLOOKUP("industry|SO2|Minor restricted activity days", US_national_yearly!$D:$AM, 10, FALSE), 1)</f>
        <v>1.549139005249524</v>
      </c>
      <c r="AB14" s="7">
        <f>$B14 * IFERROR(VLOOKUP("industry|SO2|Minor restricted activity days", US_national_yearly!$D:$AM, 36, FALSE) / VLOOKUP("industry|SO2|Minor restricted activity days", US_national_yearly!$D:$AM, 10, FALSE), 1)</f>
        <v>1.559392371505925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0.22507910194831193</v>
      </c>
      <c r="C15" s="7">
        <f>$B15 * IFERROR(VLOOKUP("industry|SO2|Work loss days", US_national_yearly!$D:$AM, 11, FALSE) / VLOOKUP("industry|SO2|Work loss days", US_national_yearly!$D:$AM, 10, FALSE), 1)</f>
        <v>0.22580293091144513</v>
      </c>
      <c r="D15" s="7">
        <f>$B15 * IFERROR(VLOOKUP("industry|SO2|Work loss days", US_national_yearly!$D:$AM, 12, FALSE) / VLOOKUP("industry|SO2|Work loss days", US_national_yearly!$D:$AM, 10, FALSE), 1)</f>
        <v>0.2265267598745784</v>
      </c>
      <c r="E15" s="7">
        <f>$B15 * IFERROR(VLOOKUP("industry|SO2|Work loss days", US_national_yearly!$D:$AM, 13, FALSE) / VLOOKUP("industry|SO2|Work loss days", US_national_yearly!$D:$AM, 10, FALSE), 1)</f>
        <v>0.2272505888377116</v>
      </c>
      <c r="F15" s="7">
        <f>$B15 * IFERROR(VLOOKUP("industry|SO2|Work loss days", US_national_yearly!$D:$AM, 14, FALSE) / VLOOKUP("industry|SO2|Work loss days", US_national_yearly!$D:$AM, 10, FALSE), 1)</f>
        <v>0.22797441780084488</v>
      </c>
      <c r="G15" s="7">
        <f>$B15 * IFERROR(VLOOKUP("industry|SO2|Work loss days", US_national_yearly!$D:$AM, 15, FALSE) / VLOOKUP("industry|SO2|Work loss days", US_national_yearly!$D:$AM, 10, FALSE), 1)</f>
        <v>0.22891921020397624</v>
      </c>
      <c r="H15" s="7">
        <f>$B15 * IFERROR(VLOOKUP("industry|SO2|Work loss days", US_national_yearly!$D:$AM, 16, FALSE) / VLOOKUP("industry|SO2|Work loss days", US_national_yearly!$D:$AM, 10, FALSE), 1)</f>
        <v>0.22986400260710765</v>
      </c>
      <c r="I15" s="7">
        <f>$B15 * IFERROR(VLOOKUP("industry|SO2|Work loss days", US_national_yearly!$D:$AM, 17, FALSE) / VLOOKUP("industry|SO2|Work loss days", US_national_yearly!$D:$AM, 10, FALSE), 1)</f>
        <v>0.2312450228713373</v>
      </c>
      <c r="J15" s="7">
        <f>$B15 * IFERROR(VLOOKUP("industry|SO2|Work loss days", US_national_yearly!$D:$AM, 18, FALSE) / VLOOKUP("industry|SO2|Work loss days", US_national_yearly!$D:$AM, 10, FALSE), 1)</f>
        <v>0.23262604313556687</v>
      </c>
      <c r="K15" s="7">
        <f>$B15 * IFERROR(VLOOKUP("industry|SO2|Work loss days", US_national_yearly!$D:$AM, 19, FALSE) / VLOOKUP("industry|SO2|Work loss days", US_national_yearly!$D:$AM, 10, FALSE), 1)</f>
        <v>0.23400706339979646</v>
      </c>
      <c r="L15" s="7">
        <f>$B15 * IFERROR(VLOOKUP("industry|SO2|Work loss days", US_national_yearly!$D:$AM, 20, FALSE) / VLOOKUP("industry|SO2|Work loss days", US_national_yearly!$D:$AM, 10, FALSE), 1)</f>
        <v>0.23538808366402608</v>
      </c>
      <c r="M15" s="7">
        <f>$B15 * IFERROR(VLOOKUP("industry|SO2|Work loss days", US_national_yearly!$D:$AM, 21, FALSE) / VLOOKUP("industry|SO2|Work loss days", US_national_yearly!$D:$AM, 10, FALSE), 1)</f>
        <v>0.23676910392825568</v>
      </c>
      <c r="N15" s="7">
        <f>$B15 * IFERROR(VLOOKUP("industry|SO2|Work loss days", US_national_yearly!$D:$AM, 22, FALSE) / VLOOKUP("industry|SO2|Work loss days", US_national_yearly!$D:$AM, 10, FALSE), 1)</f>
        <v>0.23850484308751063</v>
      </c>
      <c r="O15" s="7">
        <f>$B15 * IFERROR(VLOOKUP("industry|SO2|Work loss days", US_national_yearly!$D:$AM, 23, FALSE) / VLOOKUP("industry|SO2|Work loss days", US_national_yearly!$D:$AM, 10, FALSE), 1)</f>
        <v>0.24024058224676559</v>
      </c>
      <c r="P15" s="7">
        <f>$B15 * IFERROR(VLOOKUP("industry|SO2|Work loss days", US_national_yearly!$D:$AM, 24, FALSE) / VLOOKUP("industry|SO2|Work loss days", US_national_yearly!$D:$AM, 10, FALSE), 1)</f>
        <v>0.24197632140602054</v>
      </c>
      <c r="Q15" s="7">
        <f>$B15 * IFERROR(VLOOKUP("industry|SO2|Work loss days", US_national_yearly!$D:$AM, 25, FALSE) / VLOOKUP("industry|SO2|Work loss days", US_national_yearly!$D:$AM, 10, FALSE), 1)</f>
        <v>0.2437120605652755</v>
      </c>
      <c r="R15" s="7">
        <f>$B15 * IFERROR(VLOOKUP("industry|SO2|Work loss days", US_national_yearly!$D:$AM, 26, FALSE) / VLOOKUP("industry|SO2|Work loss days", US_national_yearly!$D:$AM, 10, FALSE), 1)</f>
        <v>0.24544779972453043</v>
      </c>
      <c r="S15" s="7">
        <f>$B15 * IFERROR(VLOOKUP("industry|SO2|Work loss days", US_national_yearly!$D:$AM, 27, FALSE) / VLOOKUP("industry|SO2|Work loss days", US_national_yearly!$D:$AM, 10, FALSE), 1)</f>
        <v>0.24739002030937915</v>
      </c>
      <c r="T15" s="7">
        <f>$B15 * IFERROR(VLOOKUP("industry|SO2|Work loss days", US_national_yearly!$D:$AM, 28, FALSE) / VLOOKUP("industry|SO2|Work loss days", US_national_yearly!$D:$AM, 10, FALSE), 1)</f>
        <v>0.2493322408942279</v>
      </c>
      <c r="U15" s="7">
        <f>$B15 * IFERROR(VLOOKUP("industry|SO2|Work loss days", US_national_yearly!$D:$AM, 29, FALSE) / VLOOKUP("industry|SO2|Work loss days", US_national_yearly!$D:$AM, 10, FALSE), 1)</f>
        <v>0.25127446147907673</v>
      </c>
      <c r="V15" s="7">
        <f>$B15 * IFERROR(VLOOKUP("industry|SO2|Work loss days", US_national_yearly!$D:$AM, 30, FALSE) / VLOOKUP("industry|SO2|Work loss days", US_national_yearly!$D:$AM, 10, FALSE), 1)</f>
        <v>0.25321668206392545</v>
      </c>
      <c r="W15" s="7">
        <f>$B15 * IFERROR(VLOOKUP("industry|SO2|Work loss days", US_national_yearly!$D:$AM, 31, FALSE) / VLOOKUP("industry|SO2|Work loss days", US_national_yearly!$D:$AM, 10, FALSE), 1)</f>
        <v>0.25515890264877417</v>
      </c>
      <c r="X15" s="7">
        <f>$B15 * IFERROR(VLOOKUP("industry|SO2|Work loss days", US_national_yearly!$D:$AM, 32, FALSE) / VLOOKUP("industry|SO2|Work loss days", US_national_yearly!$D:$AM, 10, FALSE), 1)</f>
        <v>0.25690335253158392</v>
      </c>
      <c r="Y15" s="7">
        <f>$B15 * IFERROR(VLOOKUP("industry|SO2|Work loss days", US_national_yearly!$D:$AM, 33, FALSE) / VLOOKUP("industry|SO2|Work loss days", US_national_yearly!$D:$AM, 10, FALSE), 1)</f>
        <v>0.25864780241439372</v>
      </c>
      <c r="Z15" s="7">
        <f>$B15 * IFERROR(VLOOKUP("industry|SO2|Work loss days", US_national_yearly!$D:$AM, 34, FALSE) / VLOOKUP("industry|SO2|Work loss days", US_national_yearly!$D:$AM, 10, FALSE), 1)</f>
        <v>0.26039225229720342</v>
      </c>
      <c r="AA15" s="7">
        <f>$B15 * IFERROR(VLOOKUP("industry|SO2|Work loss days", US_national_yearly!$D:$AM, 35, FALSE) / VLOOKUP("industry|SO2|Work loss days", US_national_yearly!$D:$AM, 10, FALSE), 1)</f>
        <v>0.26213670218001323</v>
      </c>
      <c r="AB15" s="7">
        <f>$B15 * IFERROR(VLOOKUP("industry|SO2|Work loss days", US_national_yearly!$D:$AM, 36, FALSE) / VLOOKUP("industry|SO2|Work loss days", US_national_yearly!$D:$AM, 10, FALSE), 1)</f>
        <v>0.26388115206282298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5.0485600310510724E-4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5.201214332830478E-4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5.3538686346098858E-4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5.5065229363892925E-4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5.6591772381687003E-4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5.8054751202902372E-4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5.9517730024117742E-4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6.0773017081160478E-4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6.2028304138203225E-4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6.3283591195245972E-4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6.453887825228873E-4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6.5794165309331467E-4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6.6637535199333344E-4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6.7480905089335221E-4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6.8324274979337087E-4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6.9167644869338964E-4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7.0011014759340841E-4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7.0456956061065148E-4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7.0902897362789467E-4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7.1348838664513775E-4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7.1794779966238094E-4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7.2240721267962402E-4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7.2542295823608042E-4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7.2843870379253671E-4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7.3145444934899322E-4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7.3447019490544962E-4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7.3748594046190591E-4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2.2665324198737968E-4</v>
      </c>
      <c r="C2" s="7">
        <f>$B2 * IFERROR(VLOOKUP("LULUCF|PM25|Premature mortality", US_national_yearly!$D:$AM, 11, FALSE) / VLOOKUP("LULUCF|PM25|Premature mortality", US_national_yearly!$D:$AM, 10, FALSE), 1)</f>
        <v>2.2946324548058617E-4</v>
      </c>
      <c r="D2" s="7">
        <f>$B2 * IFERROR(VLOOKUP("LULUCF|PM25|Premature mortality", US_national_yearly!$D:$AM, 12, FALSE) / VLOOKUP("LULUCF|PM25|Premature mortality", US_national_yearly!$D:$AM, 10, FALSE), 1)</f>
        <v>2.3227324897379258E-4</v>
      </c>
      <c r="E2" s="7">
        <f>$B2 * IFERROR(VLOOKUP("LULUCF|PM25|Premature mortality", US_national_yearly!$D:$AM, 13, FALSE) / VLOOKUP("LULUCF|PM25|Premature mortality", US_national_yearly!$D:$AM, 10, FALSE), 1)</f>
        <v>2.3508325246699902E-4</v>
      </c>
      <c r="F2" s="7">
        <f>$B2 * IFERROR(VLOOKUP("LULUCF|PM25|Premature mortality", US_national_yearly!$D:$AM, 14, FALSE) / VLOOKUP("LULUCF|PM25|Premature mortality", US_national_yearly!$D:$AM, 10, FALSE), 1)</f>
        <v>2.3789325596020546E-4</v>
      </c>
      <c r="G2" s="7">
        <f>$B2 * IFERROR(VLOOKUP("LULUCF|PM25|Premature mortality", US_national_yearly!$D:$AM, 15, FALSE) / VLOOKUP("LULUCF|PM25|Premature mortality", US_national_yearly!$D:$AM, 10, FALSE), 1)</f>
        <v>2.4336571657068034E-4</v>
      </c>
      <c r="H2" s="7">
        <f>$B2 * IFERROR(VLOOKUP("LULUCF|PM25|Premature mortality", US_national_yearly!$D:$AM, 16, FALSE) / VLOOKUP("LULUCF|PM25|Premature mortality", US_national_yearly!$D:$AM, 10, FALSE), 1)</f>
        <v>2.488381771811552E-4</v>
      </c>
      <c r="I2" s="7">
        <f>$B2 * IFERROR(VLOOKUP("LULUCF|PM25|Premature mortality", US_national_yearly!$D:$AM, 17, FALSE) / VLOOKUP("LULUCF|PM25|Premature mortality", US_national_yearly!$D:$AM, 10, FALSE), 1)</f>
        <v>2.5243271967408565E-4</v>
      </c>
      <c r="J2" s="7">
        <f>$B2 * IFERROR(VLOOKUP("LULUCF|PM25|Premature mortality", US_national_yearly!$D:$AM, 18, FALSE) / VLOOKUP("LULUCF|PM25|Premature mortality", US_national_yearly!$D:$AM, 10, FALSE), 1)</f>
        <v>2.5602726216701621E-4</v>
      </c>
      <c r="K2" s="7">
        <f>$B2 * IFERROR(VLOOKUP("LULUCF|PM25|Premature mortality", US_national_yearly!$D:$AM, 19, FALSE) / VLOOKUP("LULUCF|PM25|Premature mortality", US_national_yearly!$D:$AM, 10, FALSE), 1)</f>
        <v>2.5962180465994667E-4</v>
      </c>
      <c r="L2" s="7">
        <f>$B2 * IFERROR(VLOOKUP("LULUCF|PM25|Premature mortality", US_national_yearly!$D:$AM, 20, FALSE) / VLOOKUP("LULUCF|PM25|Premature mortality", US_national_yearly!$D:$AM, 10, FALSE), 1)</f>
        <v>2.6321634715287723E-4</v>
      </c>
      <c r="M2" s="7">
        <f>$B2 * IFERROR(VLOOKUP("LULUCF|PM25|Premature mortality", US_national_yearly!$D:$AM, 21, FALSE) / VLOOKUP("LULUCF|PM25|Premature mortality", US_national_yearly!$D:$AM, 10, FALSE), 1)</f>
        <v>2.6681088964580768E-4</v>
      </c>
      <c r="N2" s="7">
        <f>$B2 * IFERROR(VLOOKUP("LULUCF|PM25|Premature mortality", US_national_yearly!$D:$AM, 22, FALSE) / VLOOKUP("LULUCF|PM25|Premature mortality", US_national_yearly!$D:$AM, 10, FALSE), 1)</f>
        <v>2.6960182312036414E-4</v>
      </c>
      <c r="O2" s="7">
        <f>$B2 * IFERROR(VLOOKUP("LULUCF|PM25|Premature mortality", US_national_yearly!$D:$AM, 23, FALSE) / VLOOKUP("LULUCF|PM25|Premature mortality", US_national_yearly!$D:$AM, 10, FALSE), 1)</f>
        <v>2.723927565949206E-4</v>
      </c>
      <c r="P2" s="7">
        <f>$B2 * IFERROR(VLOOKUP("LULUCF|PM25|Premature mortality", US_national_yearly!$D:$AM, 24, FALSE) / VLOOKUP("LULUCF|PM25|Premature mortality", US_national_yearly!$D:$AM, 10, FALSE), 1)</f>
        <v>2.7518369006947706E-4</v>
      </c>
      <c r="Q2" s="7">
        <f>$B2 * IFERROR(VLOOKUP("LULUCF|PM25|Premature mortality", US_national_yearly!$D:$AM, 25, FALSE) / VLOOKUP("LULUCF|PM25|Premature mortality", US_national_yearly!$D:$AM, 10, FALSE), 1)</f>
        <v>2.7797462354403352E-4</v>
      </c>
      <c r="R2" s="7">
        <f>$B2 * IFERROR(VLOOKUP("LULUCF|PM25|Premature mortality", US_national_yearly!$D:$AM, 26, FALSE) / VLOOKUP("LULUCF|PM25|Premature mortality", US_national_yearly!$D:$AM, 10, FALSE), 1)</f>
        <v>2.8076555701858998E-4</v>
      </c>
      <c r="S2" s="7">
        <f>$B2 * IFERROR(VLOOKUP("LULUCF|PM25|Premature mortality", US_national_yearly!$D:$AM, 27, FALSE) / VLOOKUP("LULUCF|PM25|Premature mortality", US_national_yearly!$D:$AM, 10, FALSE), 1)</f>
        <v>2.8224411065201269E-4</v>
      </c>
      <c r="T2" s="7">
        <f>$B2 * IFERROR(VLOOKUP("LULUCF|PM25|Premature mortality", US_national_yearly!$D:$AM, 28, FALSE) / VLOOKUP("LULUCF|PM25|Premature mortality", US_national_yearly!$D:$AM, 10, FALSE), 1)</f>
        <v>2.8372266428543529E-4</v>
      </c>
      <c r="U2" s="7">
        <f>$B2 * IFERROR(VLOOKUP("LULUCF|PM25|Premature mortality", US_national_yearly!$D:$AM, 29, FALSE) / VLOOKUP("LULUCF|PM25|Premature mortality", US_national_yearly!$D:$AM, 10, FALSE), 1)</f>
        <v>2.8520121791885788E-4</v>
      </c>
      <c r="V2" s="7">
        <f>$B2 * IFERROR(VLOOKUP("LULUCF|PM25|Premature mortality", US_national_yearly!$D:$AM, 30, FALSE) / VLOOKUP("LULUCF|PM25|Premature mortality", US_national_yearly!$D:$AM, 10, FALSE), 1)</f>
        <v>2.8667977155228048E-4</v>
      </c>
      <c r="W2" s="7">
        <f>$B2 * IFERROR(VLOOKUP("LULUCF|PM25|Premature mortality", US_national_yearly!$D:$AM, 31, FALSE) / VLOOKUP("LULUCF|PM25|Premature mortality", US_national_yearly!$D:$AM, 10, FALSE), 1)</f>
        <v>2.8815832518570313E-4</v>
      </c>
      <c r="X2" s="7">
        <f>$B2 * IFERROR(VLOOKUP("LULUCF|PM25|Premature mortality", US_national_yearly!$D:$AM, 32, FALSE) / VLOOKUP("LULUCF|PM25|Premature mortality", US_national_yearly!$D:$AM, 10, FALSE), 1)</f>
        <v>2.8841686172591171E-4</v>
      </c>
      <c r="Y2" s="7">
        <f>$B2 * IFERROR(VLOOKUP("LULUCF|PM25|Premature mortality", US_national_yearly!$D:$AM, 33, FALSE) / VLOOKUP("LULUCF|PM25|Premature mortality", US_national_yearly!$D:$AM, 10, FALSE), 1)</f>
        <v>2.886753982661204E-4</v>
      </c>
      <c r="Z2" s="7">
        <f>$B2 * IFERROR(VLOOKUP("LULUCF|PM25|Premature mortality", US_national_yearly!$D:$AM, 34, FALSE) / VLOOKUP("LULUCF|PM25|Premature mortality", US_national_yearly!$D:$AM, 10, FALSE), 1)</f>
        <v>2.8893393480632903E-4</v>
      </c>
      <c r="AA2" s="7">
        <f>$B2 * IFERROR(VLOOKUP("LULUCF|PM25|Premature mortality", US_national_yearly!$D:$AM, 35, FALSE) / VLOOKUP("LULUCF|PM25|Premature mortality", US_national_yearly!$D:$AM, 10, FALSE), 1)</f>
        <v>2.8919247134653767E-4</v>
      </c>
      <c r="AB2" s="7">
        <f>$B2 * IFERROR(VLOOKUP("LULUCF|PM25|Premature mortality", US_national_yearly!$D:$AM, 36, FALSE) / VLOOKUP("LULUCF|PM25|Premature mortality", US_national_yearly!$D:$AM, 10, FALSE), 1)</f>
        <v>2.894510078867463E-4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6.6895582578659082E-7</v>
      </c>
      <c r="C3" s="7">
        <f>$B3 * IFERROR(VLOOKUP("LULUCF|PM25|Infant mortality", US_national_yearly!$D:$AM, 11, FALSE) / VLOOKUP("LULUCF|PM25|Infant mortality", US_national_yearly!$D:$AM, 10, FALSE), 1)</f>
        <v>6.6312314141227384E-7</v>
      </c>
      <c r="D3" s="7">
        <f>$B3 * IFERROR(VLOOKUP("LULUCF|PM25|Infant mortality", US_national_yearly!$D:$AM, 12, FALSE) / VLOOKUP("LULUCF|PM25|Infant mortality", US_national_yearly!$D:$AM, 10, FALSE), 1)</f>
        <v>6.5729045703795665E-7</v>
      </c>
      <c r="E3" s="7">
        <f>$B3 * IFERROR(VLOOKUP("LULUCF|PM25|Infant mortality", US_national_yearly!$D:$AM, 13, FALSE) / VLOOKUP("LULUCF|PM25|Infant mortality", US_national_yearly!$D:$AM, 10, FALSE), 1)</f>
        <v>6.5145777266363968E-7</v>
      </c>
      <c r="F3" s="7">
        <f>$B3 * IFERROR(VLOOKUP("LULUCF|PM25|Infant mortality", US_national_yearly!$D:$AM, 14, FALSE) / VLOOKUP("LULUCF|PM25|Infant mortality", US_national_yearly!$D:$AM, 10, FALSE), 1)</f>
        <v>6.4562508828932249E-7</v>
      </c>
      <c r="G3" s="7">
        <f>$B3 * IFERROR(VLOOKUP("LULUCF|PM25|Infant mortality", US_national_yearly!$D:$AM, 15, FALSE) / VLOOKUP("LULUCF|PM25|Infant mortality", US_national_yearly!$D:$AM, 10, FALSE), 1)</f>
        <v>4.2937521946126891E-7</v>
      </c>
      <c r="H3" s="7">
        <f>$B3 * IFERROR(VLOOKUP("LULUCF|PM25|Infant mortality", US_national_yearly!$D:$AM, 16, FALSE) / VLOOKUP("LULUCF|PM25|Infant mortality", US_national_yearly!$D:$AM, 10, FALSE), 1)</f>
        <v>2.1312535063321523E-7</v>
      </c>
      <c r="I3" s="7">
        <f>$B3 * IFERROR(VLOOKUP("LULUCF|PM25|Infant mortality", US_national_yearly!$D:$AM, 17, FALSE) / VLOOKUP("LULUCF|PM25|Infant mortality", US_national_yearly!$D:$AM, 10, FALSE), 1)</f>
        <v>2.1173222441514392E-7</v>
      </c>
      <c r="J3" s="7">
        <f>$B3 * IFERROR(VLOOKUP("LULUCF|PM25|Infant mortality", US_national_yearly!$D:$AM, 18, FALSE) / VLOOKUP("LULUCF|PM25|Infant mortality", US_national_yearly!$D:$AM, 10, FALSE), 1)</f>
        <v>2.1033909819707256E-7</v>
      </c>
      <c r="K3" s="7">
        <f>$B3 * IFERROR(VLOOKUP("LULUCF|PM25|Infant mortality", US_national_yearly!$D:$AM, 19, FALSE) / VLOOKUP("LULUCF|PM25|Infant mortality", US_national_yearly!$D:$AM, 10, FALSE), 1)</f>
        <v>2.0894597197900121E-7</v>
      </c>
      <c r="L3" s="7">
        <f>$B3 * IFERROR(VLOOKUP("LULUCF|PM25|Infant mortality", US_national_yearly!$D:$AM, 20, FALSE) / VLOOKUP("LULUCF|PM25|Infant mortality", US_national_yearly!$D:$AM, 10, FALSE), 1)</f>
        <v>2.075528457609299E-7</v>
      </c>
      <c r="M3" s="7">
        <f>$B3 * IFERROR(VLOOKUP("LULUCF|PM25|Infant mortality", US_national_yearly!$D:$AM, 21, FALSE) / VLOOKUP("LULUCF|PM25|Infant mortality", US_national_yearly!$D:$AM, 10, FALSE), 1)</f>
        <v>2.061597195428586E-7</v>
      </c>
      <c r="N3" s="7">
        <f>$B3 * IFERROR(VLOOKUP("LULUCF|PM25|Infant mortality", US_national_yearly!$D:$AM, 22, FALSE) / VLOOKUP("LULUCF|PM25|Infant mortality", US_national_yearly!$D:$AM, 10, FALSE), 1)</f>
        <v>2.0528468204377425E-7</v>
      </c>
      <c r="O3" s="7">
        <f>$B3 * IFERROR(VLOOKUP("LULUCF|PM25|Infant mortality", US_national_yearly!$D:$AM, 23, FALSE) / VLOOKUP("LULUCF|PM25|Infant mortality", US_national_yearly!$D:$AM, 10, FALSE), 1)</f>
        <v>2.0440964454468996E-7</v>
      </c>
      <c r="P3" s="7">
        <f>$B3 * IFERROR(VLOOKUP("LULUCF|PM25|Infant mortality", US_national_yearly!$D:$AM, 24, FALSE) / VLOOKUP("LULUCF|PM25|Infant mortality", US_national_yearly!$D:$AM, 10, FALSE), 1)</f>
        <v>2.0353460704560558E-7</v>
      </c>
      <c r="Q3" s="7">
        <f>$B3 * IFERROR(VLOOKUP("LULUCF|PM25|Infant mortality", US_national_yearly!$D:$AM, 25, FALSE) / VLOOKUP("LULUCF|PM25|Infant mortality", US_national_yearly!$D:$AM, 10, FALSE), 1)</f>
        <v>2.0265956954652129E-7</v>
      </c>
      <c r="R3" s="7">
        <f>$B3 * IFERROR(VLOOKUP("LULUCF|PM25|Infant mortality", US_national_yearly!$D:$AM, 26, FALSE) / VLOOKUP("LULUCF|PM25|Infant mortality", US_national_yearly!$D:$AM, 10, FALSE), 1)</f>
        <v>2.0178453204743694E-7</v>
      </c>
      <c r="S3" s="7">
        <f>$B3 * IFERROR(VLOOKUP("LULUCF|PM25|Infant mortality", US_national_yearly!$D:$AM, 27, FALSE) / VLOOKUP("LULUCF|PM25|Infant mortality", US_national_yearly!$D:$AM, 10, FALSE), 1)</f>
        <v>2.0069377991328779E-7</v>
      </c>
      <c r="T3" s="7">
        <f>$B3 * IFERROR(VLOOKUP("LULUCF|PM25|Infant mortality", US_national_yearly!$D:$AM, 28, FALSE) / VLOOKUP("LULUCF|PM25|Infant mortality", US_national_yearly!$D:$AM, 10, FALSE), 1)</f>
        <v>1.9960302777913861E-7</v>
      </c>
      <c r="U3" s="7">
        <f>$B3 * IFERROR(VLOOKUP("LULUCF|PM25|Infant mortality", US_national_yearly!$D:$AM, 29, FALSE) / VLOOKUP("LULUCF|PM25|Infant mortality", US_national_yearly!$D:$AM, 10, FALSE), 1)</f>
        <v>1.9851227564498948E-7</v>
      </c>
      <c r="V3" s="7">
        <f>$B3 * IFERROR(VLOOKUP("LULUCF|PM25|Infant mortality", US_national_yearly!$D:$AM, 30, FALSE) / VLOOKUP("LULUCF|PM25|Infant mortality", US_national_yearly!$D:$AM, 10, FALSE), 1)</f>
        <v>1.9742152351084033E-7</v>
      </c>
      <c r="W3" s="7">
        <f>$B3 * IFERROR(VLOOKUP("LULUCF|PM25|Infant mortality", US_national_yearly!$D:$AM, 31, FALSE) / VLOOKUP("LULUCF|PM25|Infant mortality", US_national_yearly!$D:$AM, 10, FALSE), 1)</f>
        <v>1.9633077137669115E-7</v>
      </c>
      <c r="X3" s="7">
        <f>$B3 * IFERROR(VLOOKUP("LULUCF|PM25|Infant mortality", US_national_yearly!$D:$AM, 32, FALSE) / VLOOKUP("LULUCF|PM25|Infant mortality", US_national_yearly!$D:$AM, 10, FALSE), 1)</f>
        <v>1.9515480348291781E-7</v>
      </c>
      <c r="Y3" s="7">
        <f>$B3 * IFERROR(VLOOKUP("LULUCF|PM25|Infant mortality", US_national_yearly!$D:$AM, 33, FALSE) / VLOOKUP("LULUCF|PM25|Infant mortality", US_national_yearly!$D:$AM, 10, FALSE), 1)</f>
        <v>1.9397883558914443E-7</v>
      </c>
      <c r="Z3" s="7">
        <f>$B3 * IFERROR(VLOOKUP("LULUCF|PM25|Infant mortality", US_national_yearly!$D:$AM, 34, FALSE) / VLOOKUP("LULUCF|PM25|Infant mortality", US_national_yearly!$D:$AM, 10, FALSE), 1)</f>
        <v>1.9280286769537112E-7</v>
      </c>
      <c r="AA3" s="7">
        <f>$B3 * IFERROR(VLOOKUP("LULUCF|PM25|Infant mortality", US_national_yearly!$D:$AM, 35, FALSE) / VLOOKUP("LULUCF|PM25|Infant mortality", US_national_yearly!$D:$AM, 10, FALSE), 1)</f>
        <v>1.9162689980159776E-7</v>
      </c>
      <c r="AB3" s="7">
        <f>$B3 * IFERROR(VLOOKUP("LULUCF|PM25|Infant mortality", US_national_yearly!$D:$AM, 36, FALSE) / VLOOKUP("LULUCF|PM25|Infant mortality", US_national_yearly!$D:$AM, 10, FALSE), 1)</f>
        <v>1.9045093190782443E-7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5.6840052596193573E-4</v>
      </c>
      <c r="C6" s="7">
        <f>$B6 * IFERROR(VLOOKUP("LULUCF|PM25|Asthma symptoms cough", US_national_yearly!$D:$AM, 11, FALSE) / VLOOKUP("LULUCF|PM25|Asthma symptoms cough", US_national_yearly!$D:$AM, 10, FALSE), 1)</f>
        <v>5.6840052596193573E-4</v>
      </c>
      <c r="D6" s="7">
        <f>$B6 * IFERROR(VLOOKUP("LULUCF|PM25|Asthma symptoms cough", US_national_yearly!$D:$AM, 12, FALSE) / VLOOKUP("LULUCF|PM25|Asthma symptoms cough", US_national_yearly!$D:$AM, 10, FALSE), 1)</f>
        <v>5.6840052596193573E-4</v>
      </c>
      <c r="E6" s="7">
        <f>$B6 * IFERROR(VLOOKUP("LULUCF|PM25|Asthma symptoms cough", US_national_yearly!$D:$AM, 13, FALSE) / VLOOKUP("LULUCF|PM25|Asthma symptoms cough", US_national_yearly!$D:$AM, 10, FALSE), 1)</f>
        <v>5.6840052596193573E-4</v>
      </c>
      <c r="F6" s="7">
        <f>$B6 * IFERROR(VLOOKUP("LULUCF|PM25|Asthma symptoms cough", US_national_yearly!$D:$AM, 14, FALSE) / VLOOKUP("LULUCF|PM25|Asthma symptoms cough", US_national_yearly!$D:$AM, 10, FALSE), 1)</f>
        <v>5.6840052596193573E-4</v>
      </c>
      <c r="G6" s="7">
        <f>$B6 * IFERROR(VLOOKUP("LULUCF|PM25|Asthma symptoms cough", US_national_yearly!$D:$AM, 15, FALSE) / VLOOKUP("LULUCF|PM25|Asthma symptoms cough", US_national_yearly!$D:$AM, 10, FALSE), 1)</f>
        <v>5.6840052596193573E-4</v>
      </c>
      <c r="H6" s="7">
        <f>$B6 * IFERROR(VLOOKUP("LULUCF|PM25|Asthma symptoms cough", US_national_yearly!$D:$AM, 16, FALSE) / VLOOKUP("LULUCF|PM25|Asthma symptoms cough", US_national_yearly!$D:$AM, 10, FALSE), 1)</f>
        <v>5.6840052596193573E-4</v>
      </c>
      <c r="I6" s="7">
        <f>$B6 * IFERROR(VLOOKUP("LULUCF|PM25|Asthma symptoms cough", US_national_yearly!$D:$AM, 17, FALSE) / VLOOKUP("LULUCF|PM25|Asthma symptoms cough", US_national_yearly!$D:$AM, 10, FALSE), 1)</f>
        <v>5.6840052596193573E-4</v>
      </c>
      <c r="J6" s="7">
        <f>$B6 * IFERROR(VLOOKUP("LULUCF|PM25|Asthma symptoms cough", US_national_yearly!$D:$AM, 18, FALSE) / VLOOKUP("LULUCF|PM25|Asthma symptoms cough", US_national_yearly!$D:$AM, 10, FALSE), 1)</f>
        <v>5.6840052596193573E-4</v>
      </c>
      <c r="K6" s="7">
        <f>$B6 * IFERROR(VLOOKUP("LULUCF|PM25|Asthma symptoms cough", US_national_yearly!$D:$AM, 19, FALSE) / VLOOKUP("LULUCF|PM25|Asthma symptoms cough", US_national_yearly!$D:$AM, 10, FALSE), 1)</f>
        <v>5.6840052596193573E-4</v>
      </c>
      <c r="L6" s="7">
        <f>$B6 * IFERROR(VLOOKUP("LULUCF|PM25|Asthma symptoms cough", US_national_yearly!$D:$AM, 20, FALSE) / VLOOKUP("LULUCF|PM25|Asthma symptoms cough", US_national_yearly!$D:$AM, 10, FALSE), 1)</f>
        <v>5.6840052596193573E-4</v>
      </c>
      <c r="M6" s="7">
        <f>$B6 * IFERROR(VLOOKUP("LULUCF|PM25|Asthma symptoms cough", US_national_yearly!$D:$AM, 21, FALSE) / VLOOKUP("LULUCF|PM25|Asthma symptoms cough", US_national_yearly!$D:$AM, 10, FALSE), 1)</f>
        <v>5.6840052596193573E-4</v>
      </c>
      <c r="N6" s="7">
        <f>$B6 * IFERROR(VLOOKUP("LULUCF|PM25|Asthma symptoms cough", US_national_yearly!$D:$AM, 22, FALSE) / VLOOKUP("LULUCF|PM25|Asthma symptoms cough", US_national_yearly!$D:$AM, 10, FALSE), 1)</f>
        <v>5.6840052596193573E-4</v>
      </c>
      <c r="O6" s="7">
        <f>$B6 * IFERROR(VLOOKUP("LULUCF|PM25|Asthma symptoms cough", US_national_yearly!$D:$AM, 23, FALSE) / VLOOKUP("LULUCF|PM25|Asthma symptoms cough", US_national_yearly!$D:$AM, 10, FALSE), 1)</f>
        <v>5.6840052596193573E-4</v>
      </c>
      <c r="P6" s="7">
        <f>$B6 * IFERROR(VLOOKUP("LULUCF|PM25|Asthma symptoms cough", US_national_yearly!$D:$AM, 24, FALSE) / VLOOKUP("LULUCF|PM25|Asthma symptoms cough", US_national_yearly!$D:$AM, 10, FALSE), 1)</f>
        <v>5.6840052596193573E-4</v>
      </c>
      <c r="Q6" s="7">
        <f>$B6 * IFERROR(VLOOKUP("LULUCF|PM25|Asthma symptoms cough", US_national_yearly!$D:$AM, 25, FALSE) / VLOOKUP("LULUCF|PM25|Asthma symptoms cough", US_national_yearly!$D:$AM, 10, FALSE), 1)</f>
        <v>5.6840052596193573E-4</v>
      </c>
      <c r="R6" s="7">
        <f>$B6 * IFERROR(VLOOKUP("LULUCF|PM25|Asthma symptoms cough", US_national_yearly!$D:$AM, 26, FALSE) / VLOOKUP("LULUCF|PM25|Asthma symptoms cough", US_national_yearly!$D:$AM, 10, FALSE), 1)</f>
        <v>5.6840052596193573E-4</v>
      </c>
      <c r="S6" s="7">
        <f>$B6 * IFERROR(VLOOKUP("LULUCF|PM25|Asthma symptoms cough", US_national_yearly!$D:$AM, 27, FALSE) / VLOOKUP("LULUCF|PM25|Asthma symptoms cough", US_national_yearly!$D:$AM, 10, FALSE), 1)</f>
        <v>5.6840052596193573E-4</v>
      </c>
      <c r="T6" s="7">
        <f>$B6 * IFERROR(VLOOKUP("LULUCF|PM25|Asthma symptoms cough", US_national_yearly!$D:$AM, 28, FALSE) / VLOOKUP("LULUCF|PM25|Asthma symptoms cough", US_national_yearly!$D:$AM, 10, FALSE), 1)</f>
        <v>5.6840052596193573E-4</v>
      </c>
      <c r="U6" s="7">
        <f>$B6 * IFERROR(VLOOKUP("LULUCF|PM25|Asthma symptoms cough", US_national_yearly!$D:$AM, 29, FALSE) / VLOOKUP("LULUCF|PM25|Asthma symptoms cough", US_national_yearly!$D:$AM, 10, FALSE), 1)</f>
        <v>5.6840052596193573E-4</v>
      </c>
      <c r="V6" s="7">
        <f>$B6 * IFERROR(VLOOKUP("LULUCF|PM25|Asthma symptoms cough", US_national_yearly!$D:$AM, 30, FALSE) / VLOOKUP("LULUCF|PM25|Asthma symptoms cough", US_national_yearly!$D:$AM, 10, FALSE), 1)</f>
        <v>5.6840052596193573E-4</v>
      </c>
      <c r="W6" s="7">
        <f>$B6 * IFERROR(VLOOKUP("LULUCF|PM25|Asthma symptoms cough", US_national_yearly!$D:$AM, 31, FALSE) / VLOOKUP("LULUCF|PM25|Asthma symptoms cough", US_national_yearly!$D:$AM, 10, FALSE), 1)</f>
        <v>5.6840052596193573E-4</v>
      </c>
      <c r="X6" s="7">
        <f>$B6 * IFERROR(VLOOKUP("LULUCF|PM25|Asthma symptoms cough", US_national_yearly!$D:$AM, 32, FALSE) / VLOOKUP("LULUCF|PM25|Asthma symptoms cough", US_national_yearly!$D:$AM, 10, FALSE), 1)</f>
        <v>5.6840052596193573E-4</v>
      </c>
      <c r="Y6" s="7">
        <f>$B6 * IFERROR(VLOOKUP("LULUCF|PM25|Asthma symptoms cough", US_national_yearly!$D:$AM, 33, FALSE) / VLOOKUP("LULUCF|PM25|Asthma symptoms cough", US_national_yearly!$D:$AM, 10, FALSE), 1)</f>
        <v>5.6840052596193573E-4</v>
      </c>
      <c r="Z6" s="7">
        <f>$B6 * IFERROR(VLOOKUP("LULUCF|PM25|Asthma symptoms cough", US_national_yearly!$D:$AM, 34, FALSE) / VLOOKUP("LULUCF|PM25|Asthma symptoms cough", US_national_yearly!$D:$AM, 10, FALSE), 1)</f>
        <v>5.6840052596193573E-4</v>
      </c>
      <c r="AA6" s="7">
        <f>$B6 * IFERROR(VLOOKUP("LULUCF|PM25|Asthma symptoms cough", US_national_yearly!$D:$AM, 35, FALSE) / VLOOKUP("LULUCF|PM25|Asthma symptoms cough", US_national_yearly!$D:$AM, 10, FALSE), 1)</f>
        <v>5.6840052596193573E-4</v>
      </c>
      <c r="AB6" s="7">
        <f>$B6 * IFERROR(VLOOKUP("LULUCF|PM25|Asthma symptoms cough", US_national_yearly!$D:$AM, 36, FALSE) / VLOOKUP("LULUCF|PM25|Asthma symptoms cough", US_national_yearly!$D:$AM, 10, FALSE), 1)</f>
        <v>5.6840052596193573E-4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7.6543284318439538E-4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7.6543284318439538E-4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7.6543284318439538E-4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7.6543284318439538E-4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7.6543284318439538E-4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7.6543284318439538E-4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7.6543284318439538E-4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7.6543284318439538E-4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7.6543284318439538E-4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7.6543284318439538E-4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7.6543284318439538E-4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7.6543284318439538E-4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7.6543284318439538E-4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7.6543284318439538E-4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7.6543284318439538E-4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7.6543284318439538E-4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7.6543284318439538E-4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7.6543284318439538E-4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7.6543284318439538E-4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7.6543284318439538E-4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7.6543284318439538E-4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7.6543284318439538E-4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7.6543284318439538E-4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7.6543284318439538E-4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7.6543284318439538E-4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7.6543284318439538E-4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7.6543284318439538E-4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1.1694550227628903E-3</v>
      </c>
      <c r="C8" s="7">
        <f>$B8 * IFERROR(VLOOKUP("LULUCF|PM25|Asthma symptoms wheeze", US_national_yearly!$D:$AM, 11, FALSE) / VLOOKUP("LULUCF|PM25|Asthma symptoms wheeze", US_national_yearly!$D:$AM, 10, FALSE), 1)</f>
        <v>1.1694550227628903E-3</v>
      </c>
      <c r="D8" s="7">
        <f>$B8 * IFERROR(VLOOKUP("LULUCF|PM25|Asthma symptoms wheeze", US_national_yearly!$D:$AM, 12, FALSE) / VLOOKUP("LULUCF|PM25|Asthma symptoms wheeze", US_national_yearly!$D:$AM, 10, FALSE), 1)</f>
        <v>1.1694550227628903E-3</v>
      </c>
      <c r="E8" s="7">
        <f>$B8 * IFERROR(VLOOKUP("LULUCF|PM25|Asthma symptoms wheeze", US_national_yearly!$D:$AM, 13, FALSE) / VLOOKUP("LULUCF|PM25|Asthma symptoms wheeze", US_national_yearly!$D:$AM, 10, FALSE), 1)</f>
        <v>1.1694550227628903E-3</v>
      </c>
      <c r="F8" s="7">
        <f>$B8 * IFERROR(VLOOKUP("LULUCF|PM25|Asthma symptoms wheeze", US_national_yearly!$D:$AM, 14, FALSE) / VLOOKUP("LULUCF|PM25|Asthma symptoms wheeze", US_national_yearly!$D:$AM, 10, FALSE), 1)</f>
        <v>1.1694550227628903E-3</v>
      </c>
      <c r="G8" s="7">
        <f>$B8 * IFERROR(VLOOKUP("LULUCF|PM25|Asthma symptoms wheeze", US_national_yearly!$D:$AM, 15, FALSE) / VLOOKUP("LULUCF|PM25|Asthma symptoms wheeze", US_national_yearly!$D:$AM, 10, FALSE), 1)</f>
        <v>1.1694550227628903E-3</v>
      </c>
      <c r="H8" s="7">
        <f>$B8 * IFERROR(VLOOKUP("LULUCF|PM25|Asthma symptoms wheeze", US_national_yearly!$D:$AM, 16, FALSE) / VLOOKUP("LULUCF|PM25|Asthma symptoms wheeze", US_national_yearly!$D:$AM, 10, FALSE), 1)</f>
        <v>1.1694550227628903E-3</v>
      </c>
      <c r="I8" s="7">
        <f>$B8 * IFERROR(VLOOKUP("LULUCF|PM25|Asthma symptoms wheeze", US_national_yearly!$D:$AM, 17, FALSE) / VLOOKUP("LULUCF|PM25|Asthma symptoms wheeze", US_national_yearly!$D:$AM, 10, FALSE), 1)</f>
        <v>1.1694550227628903E-3</v>
      </c>
      <c r="J8" s="7">
        <f>$B8 * IFERROR(VLOOKUP("LULUCF|PM25|Asthma symptoms wheeze", US_national_yearly!$D:$AM, 18, FALSE) / VLOOKUP("LULUCF|PM25|Asthma symptoms wheeze", US_national_yearly!$D:$AM, 10, FALSE), 1)</f>
        <v>1.1694550227628903E-3</v>
      </c>
      <c r="K8" s="7">
        <f>$B8 * IFERROR(VLOOKUP("LULUCF|PM25|Asthma symptoms wheeze", US_national_yearly!$D:$AM, 19, FALSE) / VLOOKUP("LULUCF|PM25|Asthma symptoms wheeze", US_national_yearly!$D:$AM, 10, FALSE), 1)</f>
        <v>1.1694550227628903E-3</v>
      </c>
      <c r="L8" s="7">
        <f>$B8 * IFERROR(VLOOKUP("LULUCF|PM25|Asthma symptoms wheeze", US_national_yearly!$D:$AM, 20, FALSE) / VLOOKUP("LULUCF|PM25|Asthma symptoms wheeze", US_national_yearly!$D:$AM, 10, FALSE), 1)</f>
        <v>1.1694550227628903E-3</v>
      </c>
      <c r="M8" s="7">
        <f>$B8 * IFERROR(VLOOKUP("LULUCF|PM25|Asthma symptoms wheeze", US_national_yearly!$D:$AM, 21, FALSE) / VLOOKUP("LULUCF|PM25|Asthma symptoms wheeze", US_national_yearly!$D:$AM, 10, FALSE), 1)</f>
        <v>1.1694550227628903E-3</v>
      </c>
      <c r="N8" s="7">
        <f>$B8 * IFERROR(VLOOKUP("LULUCF|PM25|Asthma symptoms wheeze", US_national_yearly!$D:$AM, 22, FALSE) / VLOOKUP("LULUCF|PM25|Asthma symptoms wheeze", US_national_yearly!$D:$AM, 10, FALSE), 1)</f>
        <v>1.1694550227628903E-3</v>
      </c>
      <c r="O8" s="7">
        <f>$B8 * IFERROR(VLOOKUP("LULUCF|PM25|Asthma symptoms wheeze", US_national_yearly!$D:$AM, 23, FALSE) / VLOOKUP("LULUCF|PM25|Asthma symptoms wheeze", US_national_yearly!$D:$AM, 10, FALSE), 1)</f>
        <v>1.1694550227628903E-3</v>
      </c>
      <c r="P8" s="7">
        <f>$B8 * IFERROR(VLOOKUP("LULUCF|PM25|Asthma symptoms wheeze", US_national_yearly!$D:$AM, 24, FALSE) / VLOOKUP("LULUCF|PM25|Asthma symptoms wheeze", US_national_yearly!$D:$AM, 10, FALSE), 1)</f>
        <v>1.1694550227628903E-3</v>
      </c>
      <c r="Q8" s="7">
        <f>$B8 * IFERROR(VLOOKUP("LULUCF|PM25|Asthma symptoms wheeze", US_national_yearly!$D:$AM, 25, FALSE) / VLOOKUP("LULUCF|PM25|Asthma symptoms wheeze", US_national_yearly!$D:$AM, 10, FALSE), 1)</f>
        <v>1.1694550227628903E-3</v>
      </c>
      <c r="R8" s="7">
        <f>$B8 * IFERROR(VLOOKUP("LULUCF|PM25|Asthma symptoms wheeze", US_national_yearly!$D:$AM, 26, FALSE) / VLOOKUP("LULUCF|PM25|Asthma symptoms wheeze", US_national_yearly!$D:$AM, 10, FALSE), 1)</f>
        <v>1.1694550227628903E-3</v>
      </c>
      <c r="S8" s="7">
        <f>$B8 * IFERROR(VLOOKUP("LULUCF|PM25|Asthma symptoms wheeze", US_national_yearly!$D:$AM, 27, FALSE) / VLOOKUP("LULUCF|PM25|Asthma symptoms wheeze", US_national_yearly!$D:$AM, 10, FALSE), 1)</f>
        <v>1.1694550227628903E-3</v>
      </c>
      <c r="T8" s="7">
        <f>$B8 * IFERROR(VLOOKUP("LULUCF|PM25|Asthma symptoms wheeze", US_national_yearly!$D:$AM, 28, FALSE) / VLOOKUP("LULUCF|PM25|Asthma symptoms wheeze", US_national_yearly!$D:$AM, 10, FALSE), 1)</f>
        <v>1.1694550227628903E-3</v>
      </c>
      <c r="U8" s="7">
        <f>$B8 * IFERROR(VLOOKUP("LULUCF|PM25|Asthma symptoms wheeze", US_national_yearly!$D:$AM, 29, FALSE) / VLOOKUP("LULUCF|PM25|Asthma symptoms wheeze", US_national_yearly!$D:$AM, 10, FALSE), 1)</f>
        <v>1.1694550227628903E-3</v>
      </c>
      <c r="V8" s="7">
        <f>$B8 * IFERROR(VLOOKUP("LULUCF|PM25|Asthma symptoms wheeze", US_national_yearly!$D:$AM, 30, FALSE) / VLOOKUP("LULUCF|PM25|Asthma symptoms wheeze", US_national_yearly!$D:$AM, 10, FALSE), 1)</f>
        <v>1.1694550227628903E-3</v>
      </c>
      <c r="W8" s="7">
        <f>$B8 * IFERROR(VLOOKUP("LULUCF|PM25|Asthma symptoms wheeze", US_national_yearly!$D:$AM, 31, FALSE) / VLOOKUP("LULUCF|PM25|Asthma symptoms wheeze", US_national_yearly!$D:$AM, 10, FALSE), 1)</f>
        <v>1.1694550227628903E-3</v>
      </c>
      <c r="X8" s="7">
        <f>$B8 * IFERROR(VLOOKUP("LULUCF|PM25|Asthma symptoms wheeze", US_national_yearly!$D:$AM, 32, FALSE) / VLOOKUP("LULUCF|PM25|Asthma symptoms wheeze", US_national_yearly!$D:$AM, 10, FALSE), 1)</f>
        <v>1.1694550227628903E-3</v>
      </c>
      <c r="Y8" s="7">
        <f>$B8 * IFERROR(VLOOKUP("LULUCF|PM25|Asthma symptoms wheeze", US_national_yearly!$D:$AM, 33, FALSE) / VLOOKUP("LULUCF|PM25|Asthma symptoms wheeze", US_national_yearly!$D:$AM, 10, FALSE), 1)</f>
        <v>1.1694550227628903E-3</v>
      </c>
      <c r="Z8" s="7">
        <f>$B8 * IFERROR(VLOOKUP("LULUCF|PM25|Asthma symptoms wheeze", US_national_yearly!$D:$AM, 34, FALSE) / VLOOKUP("LULUCF|PM25|Asthma symptoms wheeze", US_national_yearly!$D:$AM, 10, FALSE), 1)</f>
        <v>1.1694550227628903E-3</v>
      </c>
      <c r="AA8" s="7">
        <f>$B8 * IFERROR(VLOOKUP("LULUCF|PM25|Asthma symptoms wheeze", US_national_yearly!$D:$AM, 35, FALSE) / VLOOKUP("LULUCF|PM25|Asthma symptoms wheeze", US_national_yearly!$D:$AM, 10, FALSE), 1)</f>
        <v>1.1694550227628903E-3</v>
      </c>
      <c r="AB8" s="7">
        <f>$B8 * IFERROR(VLOOKUP("LULUCF|PM25|Asthma symptoms wheeze", US_national_yearly!$D:$AM, 36, FALSE) / VLOOKUP("LULUCF|PM25|Asthma symptoms wheeze", US_national_yearly!$D:$AM, 10, FALSE), 1)</f>
        <v>1.1694550227628903E-3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1.6220696504382941E-5</v>
      </c>
      <c r="C12" s="7">
        <f>$B12 * IFERROR(VLOOKUP("LULUCF|PM25|Respiratory hospital admissions", US_national_yearly!$D:$AM, 11, FALSE) / VLOOKUP("LULUCF|PM25|Respiratory hospital admissions", US_national_yearly!$D:$AM, 10, FALSE), 1)</f>
        <v>1.6313666998881563E-5</v>
      </c>
      <c r="D12" s="7">
        <f>$B12 * IFERROR(VLOOKUP("LULUCF|PM25|Respiratory hospital admissions", US_national_yearly!$D:$AM, 12, FALSE) / VLOOKUP("LULUCF|PM25|Respiratory hospital admissions", US_national_yearly!$D:$AM, 10, FALSE), 1)</f>
        <v>1.6406637493380186E-5</v>
      </c>
      <c r="E12" s="7">
        <f>$B12 * IFERROR(VLOOKUP("LULUCF|PM25|Respiratory hospital admissions", US_national_yearly!$D:$AM, 13, FALSE) / VLOOKUP("LULUCF|PM25|Respiratory hospital admissions", US_national_yearly!$D:$AM, 10, FALSE), 1)</f>
        <v>1.6499607987878808E-5</v>
      </c>
      <c r="F12" s="7">
        <f>$B12 * IFERROR(VLOOKUP("LULUCF|PM25|Respiratory hospital admissions", US_national_yearly!$D:$AM, 14, FALSE) / VLOOKUP("LULUCF|PM25|Respiratory hospital admissions", US_national_yearly!$D:$AM, 10, FALSE), 1)</f>
        <v>1.6592578482377431E-5</v>
      </c>
      <c r="G12" s="7">
        <f>$B12 * IFERROR(VLOOKUP("LULUCF|PM25|Respiratory hospital admissions", US_national_yearly!$D:$AM, 15, FALSE) / VLOOKUP("LULUCF|PM25|Respiratory hospital admissions", US_national_yearly!$D:$AM, 10, FALSE), 1)</f>
        <v>1.6692990582118013E-5</v>
      </c>
      <c r="H12" s="7">
        <f>$B12 * IFERROR(VLOOKUP("LULUCF|PM25|Respiratory hospital admissions", US_national_yearly!$D:$AM, 16, FALSE) / VLOOKUP("LULUCF|PM25|Respiratory hospital admissions", US_national_yearly!$D:$AM, 10, FALSE), 1)</f>
        <v>1.6793402681858598E-5</v>
      </c>
      <c r="I12" s="7">
        <f>$B12 * IFERROR(VLOOKUP("LULUCF|PM25|Respiratory hospital admissions", US_national_yearly!$D:$AM, 17, FALSE) / VLOOKUP("LULUCF|PM25|Respiratory hospital admissions", US_national_yearly!$D:$AM, 10, FALSE), 1)</f>
        <v>1.6889342628152413E-5</v>
      </c>
      <c r="J12" s="7">
        <f>$B12 * IFERROR(VLOOKUP("LULUCF|PM25|Respiratory hospital admissions", US_national_yearly!$D:$AM, 18, FALSE) / VLOOKUP("LULUCF|PM25|Respiratory hospital admissions", US_national_yearly!$D:$AM, 10, FALSE), 1)</f>
        <v>1.6985282574446234E-5</v>
      </c>
      <c r="K12" s="7">
        <f>$B12 * IFERROR(VLOOKUP("LULUCF|PM25|Respiratory hospital admissions", US_national_yearly!$D:$AM, 19, FALSE) / VLOOKUP("LULUCF|PM25|Respiratory hospital admissions", US_national_yearly!$D:$AM, 10, FALSE), 1)</f>
        <v>1.7081222520740052E-5</v>
      </c>
      <c r="L12" s="7">
        <f>$B12 * IFERROR(VLOOKUP("LULUCF|PM25|Respiratory hospital admissions", US_national_yearly!$D:$AM, 20, FALSE) / VLOOKUP("LULUCF|PM25|Respiratory hospital admissions", US_national_yearly!$D:$AM, 10, FALSE), 1)</f>
        <v>1.7177162467033874E-5</v>
      </c>
      <c r="M12" s="7">
        <f>$B12 * IFERROR(VLOOKUP("LULUCF|PM25|Respiratory hospital admissions", US_national_yearly!$D:$AM, 21, FALSE) / VLOOKUP("LULUCF|PM25|Respiratory hospital admissions", US_national_yearly!$D:$AM, 10, FALSE), 1)</f>
        <v>1.7273102413327688E-5</v>
      </c>
      <c r="N12" s="7">
        <f>$B12 * IFERROR(VLOOKUP("LULUCF|PM25|Respiratory hospital admissions", US_national_yearly!$D:$AM, 22, FALSE) / VLOOKUP("LULUCF|PM25|Respiratory hospital admissions", US_national_yearly!$D:$AM, 10, FALSE), 1)</f>
        <v>1.7341961312485871E-5</v>
      </c>
      <c r="O12" s="7">
        <f>$B12 * IFERROR(VLOOKUP("LULUCF|PM25|Respiratory hospital admissions", US_national_yearly!$D:$AM, 23, FALSE) / VLOOKUP("LULUCF|PM25|Respiratory hospital admissions", US_national_yearly!$D:$AM, 10, FALSE), 1)</f>
        <v>1.7410820211644051E-5</v>
      </c>
      <c r="P12" s="7">
        <f>$B12 * IFERROR(VLOOKUP("LULUCF|PM25|Respiratory hospital admissions", US_national_yearly!$D:$AM, 24, FALSE) / VLOOKUP("LULUCF|PM25|Respiratory hospital admissions", US_national_yearly!$D:$AM, 10, FALSE), 1)</f>
        <v>1.7479679110802224E-5</v>
      </c>
      <c r="Q12" s="7">
        <f>$B12 * IFERROR(VLOOKUP("LULUCF|PM25|Respiratory hospital admissions", US_national_yearly!$D:$AM, 25, FALSE) / VLOOKUP("LULUCF|PM25|Respiratory hospital admissions", US_national_yearly!$D:$AM, 10, FALSE), 1)</f>
        <v>1.7548538009960403E-5</v>
      </c>
      <c r="R12" s="7">
        <f>$B12 * IFERROR(VLOOKUP("LULUCF|PM25|Respiratory hospital admissions", US_national_yearly!$D:$AM, 26, FALSE) / VLOOKUP("LULUCF|PM25|Respiratory hospital admissions", US_national_yearly!$D:$AM, 10, FALSE), 1)</f>
        <v>1.7617396909118586E-5</v>
      </c>
      <c r="S12" s="7">
        <f>$B12 * IFERROR(VLOOKUP("LULUCF|PM25|Respiratory hospital admissions", US_national_yearly!$D:$AM, 27, FALSE) / VLOOKUP("LULUCF|PM25|Respiratory hospital admissions", US_national_yearly!$D:$AM, 10, FALSE), 1)</f>
        <v>1.7682959654507652E-5</v>
      </c>
      <c r="T12" s="7">
        <f>$B12 * IFERROR(VLOOKUP("LULUCF|PM25|Respiratory hospital admissions", US_national_yearly!$D:$AM, 28, FALSE) / VLOOKUP("LULUCF|PM25|Respiratory hospital admissions", US_national_yearly!$D:$AM, 10, FALSE), 1)</f>
        <v>1.7748522399896724E-5</v>
      </c>
      <c r="U12" s="7">
        <f>$B12 * IFERROR(VLOOKUP("LULUCF|PM25|Respiratory hospital admissions", US_national_yearly!$D:$AM, 29, FALSE) / VLOOKUP("LULUCF|PM25|Respiratory hospital admissions", US_national_yearly!$D:$AM, 10, FALSE), 1)</f>
        <v>1.781408514528579E-5</v>
      </c>
      <c r="V12" s="7">
        <f>$B12 * IFERROR(VLOOKUP("LULUCF|PM25|Respiratory hospital admissions", US_national_yearly!$D:$AM, 30, FALSE) / VLOOKUP("LULUCF|PM25|Respiratory hospital admissions", US_national_yearly!$D:$AM, 10, FALSE), 1)</f>
        <v>1.7879647890674855E-5</v>
      </c>
      <c r="W12" s="7">
        <f>$B12 * IFERROR(VLOOKUP("LULUCF|PM25|Respiratory hospital admissions", US_national_yearly!$D:$AM, 31, FALSE) / VLOOKUP("LULUCF|PM25|Respiratory hospital admissions", US_national_yearly!$D:$AM, 10, FALSE), 1)</f>
        <v>1.7945210636063921E-5</v>
      </c>
      <c r="X12" s="7">
        <f>$B12 * IFERROR(VLOOKUP("LULUCF|PM25|Respiratory hospital admissions", US_national_yearly!$D:$AM, 32, FALSE) / VLOOKUP("LULUCF|PM25|Respiratory hospital admissions", US_national_yearly!$D:$AM, 10, FALSE), 1)</f>
        <v>1.8008282833457742E-5</v>
      </c>
      <c r="Y12" s="7">
        <f>$B12 * IFERROR(VLOOKUP("LULUCF|PM25|Respiratory hospital admissions", US_national_yearly!$D:$AM, 33, FALSE) / VLOOKUP("LULUCF|PM25|Respiratory hospital admissions", US_national_yearly!$D:$AM, 10, FALSE), 1)</f>
        <v>1.8071355030851557E-5</v>
      </c>
      <c r="Z12" s="7">
        <f>$B12 * IFERROR(VLOOKUP("LULUCF|PM25|Respiratory hospital admissions", US_national_yearly!$D:$AM, 34, FALSE) / VLOOKUP("LULUCF|PM25|Respiratory hospital admissions", US_national_yearly!$D:$AM, 10, FALSE), 1)</f>
        <v>1.8134427228245372E-5</v>
      </c>
      <c r="AA12" s="7">
        <f>$B12 * IFERROR(VLOOKUP("LULUCF|PM25|Respiratory hospital admissions", US_national_yearly!$D:$AM, 35, FALSE) / VLOOKUP("LULUCF|PM25|Respiratory hospital admissions", US_national_yearly!$D:$AM, 10, FALSE), 1)</f>
        <v>1.8197499425639186E-5</v>
      </c>
      <c r="AB12" s="7">
        <f>$B12 * IFERROR(VLOOKUP("LULUCF|PM25|Respiratory hospital admissions", US_national_yearly!$D:$AM, 36, FALSE) / VLOOKUP("LULUCF|PM25|Respiratory hospital admissions", US_national_yearly!$D:$AM, 10, FALSE), 1)</f>
        <v>1.8260571623033004E-5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1.0184100245726171E-4</v>
      </c>
      <c r="C13" s="7">
        <f>$B13 * IFERROR(VLOOKUP("LULUCF|PM25|Non-fatal heart attacks", US_national_yearly!$D:$AM, 11, FALSE) / VLOOKUP("LULUCF|PM25|Non-fatal heart attacks", US_national_yearly!$D:$AM, 10, FALSE), 1)</f>
        <v>1.0480179065378414E-4</v>
      </c>
      <c r="D13" s="7">
        <f>$B13 * IFERROR(VLOOKUP("LULUCF|PM25|Non-fatal heart attacks", US_national_yearly!$D:$AM, 12, FALSE) / VLOOKUP("LULUCF|PM25|Non-fatal heart attacks", US_national_yearly!$D:$AM, 10, FALSE), 1)</f>
        <v>1.077625788503066E-4</v>
      </c>
      <c r="E13" s="7">
        <f>$B13 * IFERROR(VLOOKUP("LULUCF|PM25|Non-fatal heart attacks", US_national_yearly!$D:$AM, 13, FALSE) / VLOOKUP("LULUCF|PM25|Non-fatal heart attacks", US_national_yearly!$D:$AM, 10, FALSE), 1)</f>
        <v>1.1072336704682901E-4</v>
      </c>
      <c r="F13" s="7">
        <f>$B13 * IFERROR(VLOOKUP("LULUCF|PM25|Non-fatal heart attacks", US_national_yearly!$D:$AM, 14, FALSE) / VLOOKUP("LULUCF|PM25|Non-fatal heart attacks", US_national_yearly!$D:$AM, 10, FALSE), 1)</f>
        <v>1.1368415524335148E-4</v>
      </c>
      <c r="G13" s="7">
        <f>$B13 * IFERROR(VLOOKUP("LULUCF|PM25|Non-fatal heart attacks", US_national_yearly!$D:$AM, 15, FALSE) / VLOOKUP("LULUCF|PM25|Non-fatal heart attacks", US_national_yearly!$D:$AM, 10, FALSE), 1)</f>
        <v>1.1647636569007309E-4</v>
      </c>
      <c r="H13" s="7">
        <f>$B13 * IFERROR(VLOOKUP("LULUCF|PM25|Non-fatal heart attacks", US_national_yearly!$D:$AM, 16, FALSE) / VLOOKUP("LULUCF|PM25|Non-fatal heart attacks", US_national_yearly!$D:$AM, 10, FALSE), 1)</f>
        <v>1.1926857613679468E-4</v>
      </c>
      <c r="I13" s="7">
        <f>$B13 * IFERROR(VLOOKUP("LULUCF|PM25|Non-fatal heart attacks", US_national_yearly!$D:$AM, 17, FALSE) / VLOOKUP("LULUCF|PM25|Non-fatal heart attacks", US_national_yearly!$D:$AM, 10, FALSE), 1)</f>
        <v>1.2151258421395605E-4</v>
      </c>
      <c r="J13" s="7">
        <f>$B13 * IFERROR(VLOOKUP("LULUCF|PM25|Non-fatal heart attacks", US_national_yearly!$D:$AM, 18, FALSE) / VLOOKUP("LULUCF|PM25|Non-fatal heart attacks", US_national_yearly!$D:$AM, 10, FALSE), 1)</f>
        <v>1.237565922911174E-4</v>
      </c>
      <c r="K13" s="7">
        <f>$B13 * IFERROR(VLOOKUP("LULUCF|PM25|Non-fatal heart attacks", US_national_yearly!$D:$AM, 19, FALSE) / VLOOKUP("LULUCF|PM25|Non-fatal heart attacks", US_national_yearly!$D:$AM, 10, FALSE), 1)</f>
        <v>1.2600060036827877E-4</v>
      </c>
      <c r="L13" s="7">
        <f>$B13 * IFERROR(VLOOKUP("LULUCF|PM25|Non-fatal heart attacks", US_national_yearly!$D:$AM, 20, FALSE) / VLOOKUP("LULUCF|PM25|Non-fatal heart attacks", US_national_yearly!$D:$AM, 10, FALSE), 1)</f>
        <v>1.2824460844544015E-4</v>
      </c>
      <c r="M13" s="7">
        <f>$B13 * IFERROR(VLOOKUP("LULUCF|PM25|Non-fatal heart attacks", US_national_yearly!$D:$AM, 21, FALSE) / VLOOKUP("LULUCF|PM25|Non-fatal heart attacks", US_national_yearly!$D:$AM, 10, FALSE), 1)</f>
        <v>1.3048861652260153E-4</v>
      </c>
      <c r="N13" s="7">
        <f>$B13 * IFERROR(VLOOKUP("LULUCF|PM25|Non-fatal heart attacks", US_national_yearly!$D:$AM, 22, FALSE) / VLOOKUP("LULUCF|PM25|Non-fatal heart attacks", US_national_yearly!$D:$AM, 10, FALSE), 1)</f>
        <v>1.3193578014671661E-4</v>
      </c>
      <c r="O13" s="7">
        <f>$B13 * IFERROR(VLOOKUP("LULUCF|PM25|Non-fatal heart attacks", US_national_yearly!$D:$AM, 23, FALSE) / VLOOKUP("LULUCF|PM25|Non-fatal heart attacks", US_national_yearly!$D:$AM, 10, FALSE), 1)</f>
        <v>1.3338294377083175E-4</v>
      </c>
      <c r="P13" s="7">
        <f>$B13 * IFERROR(VLOOKUP("LULUCF|PM25|Non-fatal heart attacks", US_national_yearly!$D:$AM, 24, FALSE) / VLOOKUP("LULUCF|PM25|Non-fatal heart attacks", US_national_yearly!$D:$AM, 10, FALSE), 1)</f>
        <v>1.3483010739494687E-4</v>
      </c>
      <c r="Q13" s="7">
        <f>$B13 * IFERROR(VLOOKUP("LULUCF|PM25|Non-fatal heart attacks", US_national_yearly!$D:$AM, 25, FALSE) / VLOOKUP("LULUCF|PM25|Non-fatal heart attacks", US_national_yearly!$D:$AM, 10, FALSE), 1)</f>
        <v>1.3627727101906195E-4</v>
      </c>
      <c r="R13" s="7">
        <f>$B13 * IFERROR(VLOOKUP("LULUCF|PM25|Non-fatal heart attacks", US_national_yearly!$D:$AM, 26, FALSE) / VLOOKUP("LULUCF|PM25|Non-fatal heart attacks", US_national_yearly!$D:$AM, 10, FALSE), 1)</f>
        <v>1.3772443464317709E-4</v>
      </c>
      <c r="S13" s="7">
        <f>$B13 * IFERROR(VLOOKUP("LULUCF|PM25|Non-fatal heart attacks", US_national_yearly!$D:$AM, 27, FALSE) / VLOOKUP("LULUCF|PM25|Non-fatal heart attacks", US_national_yearly!$D:$AM, 10, FALSE), 1)</f>
        <v>1.3848655235278531E-4</v>
      </c>
      <c r="T13" s="7">
        <f>$B13 * IFERROR(VLOOKUP("LULUCF|PM25|Non-fatal heart attacks", US_national_yearly!$D:$AM, 28, FALSE) / VLOOKUP("LULUCF|PM25|Non-fatal heart attacks", US_national_yearly!$D:$AM, 10, FALSE), 1)</f>
        <v>1.3924867006239356E-4</v>
      </c>
      <c r="U13" s="7">
        <f>$B13 * IFERROR(VLOOKUP("LULUCF|PM25|Non-fatal heart attacks", US_national_yearly!$D:$AM, 29, FALSE) / VLOOKUP("LULUCF|PM25|Non-fatal heart attacks", US_national_yearly!$D:$AM, 10, FALSE), 1)</f>
        <v>1.4001078777200183E-4</v>
      </c>
      <c r="V13" s="7">
        <f>$B13 * IFERROR(VLOOKUP("LULUCF|PM25|Non-fatal heart attacks", US_national_yearly!$D:$AM, 30, FALSE) / VLOOKUP("LULUCF|PM25|Non-fatal heart attacks", US_national_yearly!$D:$AM, 10, FALSE), 1)</f>
        <v>1.4077290548161007E-4</v>
      </c>
      <c r="W13" s="7">
        <f>$B13 * IFERROR(VLOOKUP("LULUCF|PM25|Non-fatal heart attacks", US_national_yearly!$D:$AM, 31, FALSE) / VLOOKUP("LULUCF|PM25|Non-fatal heart attacks", US_national_yearly!$D:$AM, 10, FALSE), 1)</f>
        <v>1.4153502319121832E-4</v>
      </c>
      <c r="X13" s="7">
        <f>$B13 * IFERROR(VLOOKUP("LULUCF|PM25|Non-fatal heart attacks", US_national_yearly!$D:$AM, 32, FALSE) / VLOOKUP("LULUCF|PM25|Non-fatal heart attacks", US_national_yearly!$D:$AM, 10, FALSE), 1)</f>
        <v>1.4211358073276694E-4</v>
      </c>
      <c r="Y13" s="7">
        <f>$B13 * IFERROR(VLOOKUP("LULUCF|PM25|Non-fatal heart attacks", US_national_yearly!$D:$AM, 33, FALSE) / VLOOKUP("LULUCF|PM25|Non-fatal heart attacks", US_national_yearly!$D:$AM, 10, FALSE), 1)</f>
        <v>1.4269213827431562E-4</v>
      </c>
      <c r="Z13" s="7">
        <f>$B13 * IFERROR(VLOOKUP("LULUCF|PM25|Non-fatal heart attacks", US_national_yearly!$D:$AM, 34, FALSE) / VLOOKUP("LULUCF|PM25|Non-fatal heart attacks", US_national_yearly!$D:$AM, 10, FALSE), 1)</f>
        <v>1.4327069581586424E-4</v>
      </c>
      <c r="AA13" s="7">
        <f>$B13 * IFERROR(VLOOKUP("LULUCF|PM25|Non-fatal heart attacks", US_national_yearly!$D:$AM, 35, FALSE) / VLOOKUP("LULUCF|PM25|Non-fatal heart attacks", US_national_yearly!$D:$AM, 10, FALSE), 1)</f>
        <v>1.4384925335741289E-4</v>
      </c>
      <c r="AB13" s="7">
        <f>$B13 * IFERROR(VLOOKUP("LULUCF|PM25|Non-fatal heart attacks", US_national_yearly!$D:$AM, 36, FALSE) / VLOOKUP("LULUCF|PM25|Non-fatal heart attacks", US_national_yearly!$D:$AM, 10, FALSE), 1)</f>
        <v>1.4442781089896154E-4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7.4374120603338506E-2</v>
      </c>
      <c r="C14" s="7">
        <f>$B14 * IFERROR(VLOOKUP("LULUCF|PM25|Minor restricted activity days", US_national_yearly!$D:$AM, 11, FALSE) / VLOOKUP("LULUCF|PM25|Minor restricted activity days", US_national_yearly!$D:$AM, 10, FALSE), 1)</f>
        <v>7.4555751025944555E-2</v>
      </c>
      <c r="D14" s="7">
        <f>$B14 * IFERROR(VLOOKUP("LULUCF|PM25|Minor restricted activity days", US_national_yearly!$D:$AM, 12, FALSE) / VLOOKUP("LULUCF|PM25|Minor restricted activity days", US_national_yearly!$D:$AM, 10, FALSE), 1)</f>
        <v>7.4737381448550605E-2</v>
      </c>
      <c r="E14" s="7">
        <f>$B14 * IFERROR(VLOOKUP("LULUCF|PM25|Minor restricted activity days", US_national_yearly!$D:$AM, 13, FALSE) / VLOOKUP("LULUCF|PM25|Minor restricted activity days", US_national_yearly!$D:$AM, 10, FALSE), 1)</f>
        <v>7.4919011871156668E-2</v>
      </c>
      <c r="F14" s="7">
        <f>$B14 * IFERROR(VLOOKUP("LULUCF|PM25|Minor restricted activity days", US_national_yearly!$D:$AM, 14, FALSE) / VLOOKUP("LULUCF|PM25|Minor restricted activity days", US_national_yearly!$D:$AM, 10, FALSE), 1)</f>
        <v>7.5100642293762704E-2</v>
      </c>
      <c r="G14" s="7">
        <f>$B14 * IFERROR(VLOOKUP("LULUCF|PM25|Minor restricted activity days", US_national_yearly!$D:$AM, 15, FALSE) / VLOOKUP("LULUCF|PM25|Minor restricted activity days", US_national_yearly!$D:$AM, 10, FALSE), 1)</f>
        <v>7.5368632546590431E-2</v>
      </c>
      <c r="H14" s="7">
        <f>$B14 * IFERROR(VLOOKUP("LULUCF|PM25|Minor restricted activity days", US_national_yearly!$D:$AM, 16, FALSE) / VLOOKUP("LULUCF|PM25|Minor restricted activity days", US_national_yearly!$D:$AM, 10, FALSE), 1)</f>
        <v>7.5636622799418157E-2</v>
      </c>
      <c r="I14" s="7">
        <f>$B14 * IFERROR(VLOOKUP("LULUCF|PM25|Minor restricted activity days", US_national_yearly!$D:$AM, 17, FALSE) / VLOOKUP("LULUCF|PM25|Minor restricted activity days", US_national_yearly!$D:$AM, 10, FALSE), 1)</f>
        <v>7.6094763411199723E-2</v>
      </c>
      <c r="J14" s="7">
        <f>$B14 * IFERROR(VLOOKUP("LULUCF|PM25|Minor restricted activity days", US_national_yearly!$D:$AM, 18, FALSE) / VLOOKUP("LULUCF|PM25|Minor restricted activity days", US_national_yearly!$D:$AM, 10, FALSE), 1)</f>
        <v>7.6552904022981261E-2</v>
      </c>
      <c r="K14" s="7">
        <f>$B14 * IFERROR(VLOOKUP("LULUCF|PM25|Minor restricted activity days", US_national_yearly!$D:$AM, 19, FALSE) / VLOOKUP("LULUCF|PM25|Minor restricted activity days", US_national_yearly!$D:$AM, 10, FALSE), 1)</f>
        <v>7.701104463476284E-2</v>
      </c>
      <c r="L14" s="7">
        <f>$B14 * IFERROR(VLOOKUP("LULUCF|PM25|Minor restricted activity days", US_national_yearly!$D:$AM, 20, FALSE) / VLOOKUP("LULUCF|PM25|Minor restricted activity days", US_national_yearly!$D:$AM, 10, FALSE), 1)</f>
        <v>7.7469185246544392E-2</v>
      </c>
      <c r="M14" s="7">
        <f>$B14 * IFERROR(VLOOKUP("LULUCF|PM25|Minor restricted activity days", US_national_yearly!$D:$AM, 21, FALSE) / VLOOKUP("LULUCF|PM25|Minor restricted activity days", US_national_yearly!$D:$AM, 10, FALSE), 1)</f>
        <v>7.7927325858325944E-2</v>
      </c>
      <c r="N14" s="7">
        <f>$B14 * IFERROR(VLOOKUP("LULUCF|PM25|Minor restricted activity days", US_national_yearly!$D:$AM, 22, FALSE) / VLOOKUP("LULUCF|PM25|Minor restricted activity days", US_national_yearly!$D:$AM, 10, FALSE), 1)</f>
        <v>7.8551404587206011E-2</v>
      </c>
      <c r="O14" s="7">
        <f>$B14 * IFERROR(VLOOKUP("LULUCF|PM25|Minor restricted activity days", US_national_yearly!$D:$AM, 23, FALSE) / VLOOKUP("LULUCF|PM25|Minor restricted activity days", US_national_yearly!$D:$AM, 10, FALSE), 1)</f>
        <v>7.9175483316086065E-2</v>
      </c>
      <c r="P14" s="7">
        <f>$B14 * IFERROR(VLOOKUP("LULUCF|PM25|Minor restricted activity days", US_national_yearly!$D:$AM, 24, FALSE) / VLOOKUP("LULUCF|PM25|Minor restricted activity days", US_national_yearly!$D:$AM, 10, FALSE), 1)</f>
        <v>7.9799562044966132E-2</v>
      </c>
      <c r="Q14" s="7">
        <f>$B14 * IFERROR(VLOOKUP("LULUCF|PM25|Minor restricted activity days", US_national_yearly!$D:$AM, 25, FALSE) / VLOOKUP("LULUCF|PM25|Minor restricted activity days", US_national_yearly!$D:$AM, 10, FALSE), 1)</f>
        <v>8.0423640773846172E-2</v>
      </c>
      <c r="R14" s="7">
        <f>$B14 * IFERROR(VLOOKUP("LULUCF|PM25|Minor restricted activity days", US_national_yearly!$D:$AM, 26, FALSE) / VLOOKUP("LULUCF|PM25|Minor restricted activity days", US_national_yearly!$D:$AM, 10, FALSE), 1)</f>
        <v>8.1047719502726226E-2</v>
      </c>
      <c r="S14" s="7">
        <f>$B14 * IFERROR(VLOOKUP("LULUCF|PM25|Minor restricted activity days", US_national_yearly!$D:$AM, 27, FALSE) / VLOOKUP("LULUCF|PM25|Minor restricted activity days", US_national_yearly!$D:$AM, 10, FALSE), 1)</f>
        <v>8.1676096057314351E-2</v>
      </c>
      <c r="T14" s="7">
        <f>$B14 * IFERROR(VLOOKUP("LULUCF|PM25|Minor restricted activity days", US_national_yearly!$D:$AM, 28, FALSE) / VLOOKUP("LULUCF|PM25|Minor restricted activity days", US_national_yearly!$D:$AM, 10, FALSE), 1)</f>
        <v>8.2304472611902463E-2</v>
      </c>
      <c r="U14" s="7">
        <f>$B14 * IFERROR(VLOOKUP("LULUCF|PM25|Minor restricted activity days", US_national_yearly!$D:$AM, 29, FALSE) / VLOOKUP("LULUCF|PM25|Minor restricted activity days", US_national_yearly!$D:$AM, 10, FALSE), 1)</f>
        <v>8.2932849166490574E-2</v>
      </c>
      <c r="V14" s="7">
        <f>$B14 * IFERROR(VLOOKUP("LULUCF|PM25|Minor restricted activity days", US_national_yearly!$D:$AM, 30, FALSE) / VLOOKUP("LULUCF|PM25|Minor restricted activity days", US_national_yearly!$D:$AM, 10, FALSE), 1)</f>
        <v>8.3561225721078686E-2</v>
      </c>
      <c r="W14" s="7">
        <f>$B14 * IFERROR(VLOOKUP("LULUCF|PM25|Minor restricted activity days", US_national_yearly!$D:$AM, 31, FALSE) / VLOOKUP("LULUCF|PM25|Minor restricted activity days", US_national_yearly!$D:$AM, 10, FALSE), 1)</f>
        <v>8.4189602275666811E-2</v>
      </c>
      <c r="X14" s="7">
        <f>$B14 * IFERROR(VLOOKUP("LULUCF|PM25|Minor restricted activity days", US_national_yearly!$D:$AM, 32, FALSE) / VLOOKUP("LULUCF|PM25|Minor restricted activity days", US_national_yearly!$D:$AM, 10, FALSE), 1)</f>
        <v>8.473509634093343E-2</v>
      </c>
      <c r="Y14" s="7">
        <f>$B14 * IFERROR(VLOOKUP("LULUCF|PM25|Minor restricted activity days", US_national_yearly!$D:$AM, 33, FALSE) / VLOOKUP("LULUCF|PM25|Minor restricted activity days", US_national_yearly!$D:$AM, 10, FALSE), 1)</f>
        <v>8.5280590406200063E-2</v>
      </c>
      <c r="Z14" s="7">
        <f>$B14 * IFERROR(VLOOKUP("LULUCF|PM25|Minor restricted activity days", US_national_yearly!$D:$AM, 34, FALSE) / VLOOKUP("LULUCF|PM25|Minor restricted activity days", US_national_yearly!$D:$AM, 10, FALSE), 1)</f>
        <v>8.5826084471466696E-2</v>
      </c>
      <c r="AA14" s="7">
        <f>$B14 * IFERROR(VLOOKUP("LULUCF|PM25|Minor restricted activity days", US_national_yearly!$D:$AM, 35, FALSE) / VLOOKUP("LULUCF|PM25|Minor restricted activity days", US_national_yearly!$D:$AM, 10, FALSE), 1)</f>
        <v>8.6371578536733315E-2</v>
      </c>
      <c r="AB14" s="7">
        <f>$B14 * IFERROR(VLOOKUP("LULUCF|PM25|Minor restricted activity days", US_national_yearly!$D:$AM, 36, FALSE) / VLOOKUP("LULUCF|PM25|Minor restricted activity days", US_national_yearly!$D:$AM, 10, FALSE), 1)</f>
        <v>8.6917072601999934E-2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1.2635636662996622E-2</v>
      </c>
      <c r="C15" s="7">
        <f>$B15 * IFERROR(VLOOKUP("LULUCF|PM25|Work loss days", US_national_yearly!$D:$AM, 11, FALSE) / VLOOKUP("LULUCF|PM25|Work loss days", US_national_yearly!$D:$AM, 10, FALSE), 1)</f>
        <v>1.2674802585664604E-2</v>
      </c>
      <c r="D15" s="7">
        <f>$B15 * IFERROR(VLOOKUP("LULUCF|PM25|Work loss days", US_national_yearly!$D:$AM, 12, FALSE) / VLOOKUP("LULUCF|PM25|Work loss days", US_national_yearly!$D:$AM, 10, FALSE), 1)</f>
        <v>1.271396850833259E-2</v>
      </c>
      <c r="E15" s="7">
        <f>$B15 * IFERROR(VLOOKUP("LULUCF|PM25|Work loss days", US_national_yearly!$D:$AM, 13, FALSE) / VLOOKUP("LULUCF|PM25|Work loss days", US_national_yearly!$D:$AM, 10, FALSE), 1)</f>
        <v>1.2753134431000575E-2</v>
      </c>
      <c r="F15" s="7">
        <f>$B15 * IFERROR(VLOOKUP("LULUCF|PM25|Work loss days", US_national_yearly!$D:$AM, 14, FALSE) / VLOOKUP("LULUCF|PM25|Work loss days", US_national_yearly!$D:$AM, 10, FALSE), 1)</f>
        <v>1.2792300353668557E-2</v>
      </c>
      <c r="G15" s="7">
        <f>$B15 * IFERROR(VLOOKUP("LULUCF|PM25|Work loss days", US_national_yearly!$D:$AM, 15, FALSE) / VLOOKUP("LULUCF|PM25|Work loss days", US_national_yearly!$D:$AM, 10, FALSE), 1)</f>
        <v>1.2843649377501374E-2</v>
      </c>
      <c r="H15" s="7">
        <f>$B15 * IFERROR(VLOOKUP("LULUCF|PM25|Work loss days", US_national_yearly!$D:$AM, 16, FALSE) / VLOOKUP("LULUCF|PM25|Work loss days", US_national_yearly!$D:$AM, 10, FALSE), 1)</f>
        <v>1.2894998401334193E-2</v>
      </c>
      <c r="I15" s="7">
        <f>$B15 * IFERROR(VLOOKUP("LULUCF|PM25|Work loss days", US_national_yearly!$D:$AM, 17, FALSE) / VLOOKUP("LULUCF|PM25|Work loss days", US_national_yearly!$D:$AM, 10, FALSE), 1)</f>
        <v>1.2970615486545671E-2</v>
      </c>
      <c r="J15" s="7">
        <f>$B15 * IFERROR(VLOOKUP("LULUCF|PM25|Work loss days", US_national_yearly!$D:$AM, 18, FALSE) / VLOOKUP("LULUCF|PM25|Work loss days", US_national_yearly!$D:$AM, 10, FALSE), 1)</f>
        <v>1.304623257175715E-2</v>
      </c>
      <c r="K15" s="7">
        <f>$B15 * IFERROR(VLOOKUP("LULUCF|PM25|Work loss days", US_national_yearly!$D:$AM, 19, FALSE) / VLOOKUP("LULUCF|PM25|Work loss days", US_national_yearly!$D:$AM, 10, FALSE), 1)</f>
        <v>1.3121849656968628E-2</v>
      </c>
      <c r="L15" s="7">
        <f>$B15 * IFERROR(VLOOKUP("LULUCF|PM25|Work loss days", US_national_yearly!$D:$AM, 20, FALSE) / VLOOKUP("LULUCF|PM25|Work loss days", US_national_yearly!$D:$AM, 10, FALSE), 1)</f>
        <v>1.3197466742180109E-2</v>
      </c>
      <c r="M15" s="7">
        <f>$B15 * IFERROR(VLOOKUP("LULUCF|PM25|Work loss days", US_national_yearly!$D:$AM, 21, FALSE) / VLOOKUP("LULUCF|PM25|Work loss days", US_national_yearly!$D:$AM, 10, FALSE), 1)</f>
        <v>1.3273083827391587E-2</v>
      </c>
      <c r="N15" s="7">
        <f>$B15 * IFERROR(VLOOKUP("LULUCF|PM25|Work loss days", US_national_yearly!$D:$AM, 22, FALSE) / VLOOKUP("LULUCF|PM25|Work loss days", US_national_yearly!$D:$AM, 10, FALSE), 1)</f>
        <v>1.3368253652496755E-2</v>
      </c>
      <c r="O15" s="7">
        <f>$B15 * IFERROR(VLOOKUP("LULUCF|PM25|Work loss days", US_national_yearly!$D:$AM, 23, FALSE) / VLOOKUP("LULUCF|PM25|Work loss days", US_national_yearly!$D:$AM, 10, FALSE), 1)</f>
        <v>1.3463423477601918E-2</v>
      </c>
      <c r="P15" s="7">
        <f>$B15 * IFERROR(VLOOKUP("LULUCF|PM25|Work loss days", US_national_yearly!$D:$AM, 24, FALSE) / VLOOKUP("LULUCF|PM25|Work loss days", US_national_yearly!$D:$AM, 10, FALSE), 1)</f>
        <v>1.3558593302707086E-2</v>
      </c>
      <c r="Q15" s="7">
        <f>$B15 * IFERROR(VLOOKUP("LULUCF|PM25|Work loss days", US_national_yearly!$D:$AM, 25, FALSE) / VLOOKUP("LULUCF|PM25|Work loss days", US_national_yearly!$D:$AM, 10, FALSE), 1)</f>
        <v>1.365376312781225E-2</v>
      </c>
      <c r="R15" s="7">
        <f>$B15 * IFERROR(VLOOKUP("LULUCF|PM25|Work loss days", US_national_yearly!$D:$AM, 26, FALSE) / VLOOKUP("LULUCF|PM25|Work loss days", US_national_yearly!$D:$AM, 10, FALSE), 1)</f>
        <v>1.3748932952917417E-2</v>
      </c>
      <c r="S15" s="7">
        <f>$B15 * IFERROR(VLOOKUP("LULUCF|PM25|Work loss days", US_national_yearly!$D:$AM, 27, FALSE) / VLOOKUP("LULUCF|PM25|Work loss days", US_national_yearly!$D:$AM, 10, FALSE), 1)</f>
        <v>1.3854194842612194E-2</v>
      </c>
      <c r="T15" s="7">
        <f>$B15 * IFERROR(VLOOKUP("LULUCF|PM25|Work loss days", US_national_yearly!$D:$AM, 28, FALSE) / VLOOKUP("LULUCF|PM25|Work loss days", US_national_yearly!$D:$AM, 10, FALSE), 1)</f>
        <v>1.3959456732306974E-2</v>
      </c>
      <c r="U15" s="7">
        <f>$B15 * IFERROR(VLOOKUP("LULUCF|PM25|Work loss days", US_national_yearly!$D:$AM, 29, FALSE) / VLOOKUP("LULUCF|PM25|Work loss days", US_national_yearly!$D:$AM, 10, FALSE), 1)</f>
        <v>1.4064718622001749E-2</v>
      </c>
      <c r="V15" s="7">
        <f>$B15 * IFERROR(VLOOKUP("LULUCF|PM25|Work loss days", US_national_yearly!$D:$AM, 30, FALSE) / VLOOKUP("LULUCF|PM25|Work loss days", US_national_yearly!$D:$AM, 10, FALSE), 1)</f>
        <v>1.4169980511696529E-2</v>
      </c>
      <c r="W15" s="7">
        <f>$B15 * IFERROR(VLOOKUP("LULUCF|PM25|Work loss days", US_national_yearly!$D:$AM, 31, FALSE) / VLOOKUP("LULUCF|PM25|Work loss days", US_national_yearly!$D:$AM, 10, FALSE), 1)</f>
        <v>1.4275242401391306E-2</v>
      </c>
      <c r="X15" s="7">
        <f>$B15 * IFERROR(VLOOKUP("LULUCF|PM25|Work loss days", US_national_yearly!$D:$AM, 32, FALSE) / VLOOKUP("LULUCF|PM25|Work loss days", US_national_yearly!$D:$AM, 10, FALSE), 1)</f>
        <v>1.4368638087063524E-2</v>
      </c>
      <c r="Y15" s="7">
        <f>$B15 * IFERROR(VLOOKUP("LULUCF|PM25|Work loss days", US_national_yearly!$D:$AM, 33, FALSE) / VLOOKUP("LULUCF|PM25|Work loss days", US_national_yearly!$D:$AM, 10, FALSE), 1)</f>
        <v>1.4462033772735743E-2</v>
      </c>
      <c r="Z15" s="7">
        <f>$B15 * IFERROR(VLOOKUP("LULUCF|PM25|Work loss days", US_national_yearly!$D:$AM, 34, FALSE) / VLOOKUP("LULUCF|PM25|Work loss days", US_national_yearly!$D:$AM, 10, FALSE), 1)</f>
        <v>1.4555429458407963E-2</v>
      </c>
      <c r="AA15" s="7">
        <f>$B15 * IFERROR(VLOOKUP("LULUCF|PM25|Work loss days", US_national_yearly!$D:$AM, 35, FALSE) / VLOOKUP("LULUCF|PM25|Work loss days", US_national_yearly!$D:$AM, 10, FALSE), 1)</f>
        <v>1.4648825144080183E-2</v>
      </c>
      <c r="AB15" s="7">
        <f>$B15 * IFERROR(VLOOKUP("LULUCF|PM25|Work loss days", US_national_yearly!$D:$AM, 36, FALSE) / VLOOKUP("LULUCF|PM25|Work loss days", US_national_yearly!$D:$AM, 10, FALSE), 1)</f>
        <v>1.4742220829752401E-2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2.6345301082012904E-5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2.7132517049365976E-5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2.7919733016719051E-5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2.8706948984072127E-5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2.9494164951425206E-5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3.0248177230319249E-5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3.1002189509213307E-5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3.1647062207057082E-5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3.2291934904900857E-5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3.2936807602744632E-5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3.3581680300588414E-5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3.4226552998432189E-5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3.4656504349388026E-5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3.508645570034387E-5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3.5516407051299707E-5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3.5946358402255544E-5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3.6376309753211381E-5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3.6603794158584653E-5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3.6831278563957925E-5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3.7058762969331184E-5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3.7286247374704449E-5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3.7513731780077721E-5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3.7666877274098073E-5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3.7820022768118432E-5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3.7973168262138784E-5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3.8126313756159143E-5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3.8279459250179495E-5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2.2665324198737968E-4</v>
      </c>
      <c r="C2" s="7">
        <f>$B2 * IFERROR(VLOOKUP("LULUCF|NOx|Premature mortality", US_national_yearly!$D:$AM, 11, FALSE) / VLOOKUP("LULUCF|NOx|Premature mortality", US_national_yearly!$D:$AM, 10, FALSE), 1)</f>
        <v>2.2998239501079021E-4</v>
      </c>
      <c r="D2" s="7">
        <f>$B2 * IFERROR(VLOOKUP("LULUCF|NOx|Premature mortality", US_national_yearly!$D:$AM, 12, FALSE) / VLOOKUP("LULUCF|NOx|Premature mortality", US_national_yearly!$D:$AM, 10, FALSE), 1)</f>
        <v>2.3331154803420072E-4</v>
      </c>
      <c r="E2" s="7">
        <f>$B2 * IFERROR(VLOOKUP("LULUCF|NOx|Premature mortality", US_national_yearly!$D:$AM, 13, FALSE) / VLOOKUP("LULUCF|NOx|Premature mortality", US_national_yearly!$D:$AM, 10, FALSE), 1)</f>
        <v>2.3664070105761125E-4</v>
      </c>
      <c r="F2" s="7">
        <f>$B2 * IFERROR(VLOOKUP("LULUCF|NOx|Premature mortality", US_national_yearly!$D:$AM, 14, FALSE) / VLOOKUP("LULUCF|NOx|Premature mortality", US_national_yearly!$D:$AM, 10, FALSE), 1)</f>
        <v>2.3996985408102181E-4</v>
      </c>
      <c r="G2" s="7">
        <f>$B2 * IFERROR(VLOOKUP("LULUCF|NOx|Premature mortality", US_national_yearly!$D:$AM, 15, FALSE) / VLOOKUP("LULUCF|NOx|Premature mortality", US_national_yearly!$D:$AM, 10, FALSE), 1)</f>
        <v>2.4594980000342177E-4</v>
      </c>
      <c r="H2" s="7">
        <f>$B2 * IFERROR(VLOOKUP("LULUCF|NOx|Premature mortality", US_national_yearly!$D:$AM, 16, FALSE) / VLOOKUP("LULUCF|NOx|Premature mortality", US_national_yearly!$D:$AM, 10, FALSE), 1)</f>
        <v>2.5192974592582184E-4</v>
      </c>
      <c r="I2" s="7">
        <f>$B2 * IFERROR(VLOOKUP("LULUCF|NOx|Premature mortality", US_national_yearly!$D:$AM, 17, FALSE) / VLOOKUP("LULUCF|NOx|Premature mortality", US_national_yearly!$D:$AM, 10, FALSE), 1)</f>
        <v>2.5578991445014248E-4</v>
      </c>
      <c r="J2" s="7">
        <f>$B2 * IFERROR(VLOOKUP("LULUCF|NOx|Premature mortality", US_national_yearly!$D:$AM, 18, FALSE) / VLOOKUP("LULUCF|NOx|Premature mortality", US_national_yearly!$D:$AM, 10, FALSE), 1)</f>
        <v>2.5965008297446318E-4</v>
      </c>
      <c r="K2" s="7">
        <f>$B2 * IFERROR(VLOOKUP("LULUCF|NOx|Premature mortality", US_national_yearly!$D:$AM, 19, FALSE) / VLOOKUP("LULUCF|NOx|Premature mortality", US_national_yearly!$D:$AM, 10, FALSE), 1)</f>
        <v>2.6351025149878388E-4</v>
      </c>
      <c r="L2" s="7">
        <f>$B2 * IFERROR(VLOOKUP("LULUCF|NOx|Premature mortality", US_national_yearly!$D:$AM, 20, FALSE) / VLOOKUP("LULUCF|NOx|Premature mortality", US_national_yearly!$D:$AM, 10, FALSE), 1)</f>
        <v>2.6737042002310452E-4</v>
      </c>
      <c r="M2" s="7">
        <f>$B2 * IFERROR(VLOOKUP("LULUCF|NOx|Premature mortality", US_national_yearly!$D:$AM, 21, FALSE) / VLOOKUP("LULUCF|NOx|Premature mortality", US_national_yearly!$D:$AM, 10, FALSE), 1)</f>
        <v>2.7123058854742528E-4</v>
      </c>
      <c r="N2" s="7">
        <f>$B2 * IFERROR(VLOOKUP("LULUCF|NOx|Premature mortality", US_national_yearly!$D:$AM, 22, FALSE) / VLOOKUP("LULUCF|NOx|Premature mortality", US_national_yearly!$D:$AM, 10, FALSE), 1)</f>
        <v>2.7409018638366821E-4</v>
      </c>
      <c r="O2" s="7">
        <f>$B2 * IFERROR(VLOOKUP("LULUCF|NOx|Premature mortality", US_national_yearly!$D:$AM, 23, FALSE) / VLOOKUP("LULUCF|NOx|Premature mortality", US_national_yearly!$D:$AM, 10, FALSE), 1)</f>
        <v>2.7694978421991114E-4</v>
      </c>
      <c r="P2" s="7">
        <f>$B2 * IFERROR(VLOOKUP("LULUCF|NOx|Premature mortality", US_national_yearly!$D:$AM, 24, FALSE) / VLOOKUP("LULUCF|NOx|Premature mortality", US_national_yearly!$D:$AM, 10, FALSE), 1)</f>
        <v>2.7980938205615408E-4</v>
      </c>
      <c r="Q2" s="7">
        <f>$B2 * IFERROR(VLOOKUP("LULUCF|NOx|Premature mortality", US_national_yearly!$D:$AM, 25, FALSE) / VLOOKUP("LULUCF|NOx|Premature mortality", US_national_yearly!$D:$AM, 10, FALSE), 1)</f>
        <v>2.8266897989239707E-4</v>
      </c>
      <c r="R2" s="7">
        <f>$B2 * IFERROR(VLOOKUP("LULUCF|NOx|Premature mortality", US_national_yearly!$D:$AM, 26, FALSE) / VLOOKUP("LULUCF|NOx|Premature mortality", US_national_yearly!$D:$AM, 10, FALSE), 1)</f>
        <v>2.8552857772864E-4</v>
      </c>
      <c r="S2" s="7">
        <f>$B2 * IFERROR(VLOOKUP("LULUCF|NOx|Premature mortality", US_national_yearly!$D:$AM, 27, FALSE) / VLOOKUP("LULUCF|NOx|Premature mortality", US_national_yearly!$D:$AM, 10, FALSE), 1)</f>
        <v>2.8682829374097998E-4</v>
      </c>
      <c r="T2" s="7">
        <f>$B2 * IFERROR(VLOOKUP("LULUCF|NOx|Premature mortality", US_national_yearly!$D:$AM, 28, FALSE) / VLOOKUP("LULUCF|NOx|Premature mortality", US_national_yearly!$D:$AM, 10, FALSE), 1)</f>
        <v>2.8812800975331997E-4</v>
      </c>
      <c r="U2" s="7">
        <f>$B2 * IFERROR(VLOOKUP("LULUCF|NOx|Premature mortality", US_national_yearly!$D:$AM, 29, FALSE) / VLOOKUP("LULUCF|NOx|Premature mortality", US_national_yearly!$D:$AM, 10, FALSE), 1)</f>
        <v>2.894277257656599E-4</v>
      </c>
      <c r="V2" s="7">
        <f>$B2 * IFERROR(VLOOKUP("LULUCF|NOx|Premature mortality", US_national_yearly!$D:$AM, 30, FALSE) / VLOOKUP("LULUCF|NOx|Premature mortality", US_national_yearly!$D:$AM, 10, FALSE), 1)</f>
        <v>2.9072744177799988E-4</v>
      </c>
      <c r="W2" s="7">
        <f>$B2 * IFERROR(VLOOKUP("LULUCF|NOx|Premature mortality", US_national_yearly!$D:$AM, 31, FALSE) / VLOOKUP("LULUCF|NOx|Premature mortality", US_national_yearly!$D:$AM, 10, FALSE), 1)</f>
        <v>2.9202715779033986E-4</v>
      </c>
      <c r="X2" s="7">
        <f>$B2 * IFERROR(VLOOKUP("LULUCF|NOx|Premature mortality", US_national_yearly!$D:$AM, 32, FALSE) / VLOOKUP("LULUCF|NOx|Premature mortality", US_national_yearly!$D:$AM, 10, FALSE), 1)</f>
        <v>2.9207217920696436E-4</v>
      </c>
      <c r="Y2" s="7">
        <f>$B2 * IFERROR(VLOOKUP("LULUCF|NOx|Premature mortality", US_national_yearly!$D:$AM, 33, FALSE) / VLOOKUP("LULUCF|NOx|Premature mortality", US_national_yearly!$D:$AM, 10, FALSE), 1)</f>
        <v>2.9211720062358886E-4</v>
      </c>
      <c r="Z2" s="7">
        <f>$B2 * IFERROR(VLOOKUP("LULUCF|NOx|Premature mortality", US_national_yearly!$D:$AM, 34, FALSE) / VLOOKUP("LULUCF|NOx|Premature mortality", US_national_yearly!$D:$AM, 10, FALSE), 1)</f>
        <v>2.9216222204021331E-4</v>
      </c>
      <c r="AA2" s="7">
        <f>$B2 * IFERROR(VLOOKUP("LULUCF|NOx|Premature mortality", US_national_yearly!$D:$AM, 35, FALSE) / VLOOKUP("LULUCF|NOx|Premature mortality", US_national_yearly!$D:$AM, 10, FALSE), 1)</f>
        <v>2.9220724345683786E-4</v>
      </c>
      <c r="AB2" s="7">
        <f>$B2 * IFERROR(VLOOKUP("LULUCF|NOx|Premature mortality", US_national_yearly!$D:$AM, 36, FALSE) / VLOOKUP("LULUCF|NOx|Premature mortality", US_national_yearly!$D:$AM, 10, FALSE), 1)</f>
        <v>2.9225226487346236E-4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6.6895582578659082E-7</v>
      </c>
      <c r="C3" s="7">
        <f>$B3 * IFERROR(VLOOKUP("LULUCF|NOx|Infant mortality", US_national_yearly!$D:$AM, 11, FALSE) / VLOOKUP("LULUCF|NOx|Infant mortality", US_national_yearly!$D:$AM, 10, FALSE), 1)</f>
        <v>6.625823169378221E-7</v>
      </c>
      <c r="D3" s="7">
        <f>$B3 * IFERROR(VLOOKUP("LULUCF|NOx|Infant mortality", US_national_yearly!$D:$AM, 12, FALSE) / VLOOKUP("LULUCF|NOx|Infant mortality", US_national_yearly!$D:$AM, 10, FALSE), 1)</f>
        <v>6.5620880808905327E-7</v>
      </c>
      <c r="E3" s="7">
        <f>$B3 * IFERROR(VLOOKUP("LULUCF|NOx|Infant mortality", US_national_yearly!$D:$AM, 13, FALSE) / VLOOKUP("LULUCF|NOx|Infant mortality", US_national_yearly!$D:$AM, 10, FALSE), 1)</f>
        <v>6.4983529924028455E-7</v>
      </c>
      <c r="F3" s="7">
        <f>$B3 * IFERROR(VLOOKUP("LULUCF|NOx|Infant mortality", US_national_yearly!$D:$AM, 14, FALSE) / VLOOKUP("LULUCF|NOx|Infant mortality", US_national_yearly!$D:$AM, 10, FALSE), 1)</f>
        <v>6.4346179039151583E-7</v>
      </c>
      <c r="G3" s="7">
        <f>$B3 * IFERROR(VLOOKUP("LULUCF|NOx|Infant mortality", US_national_yearly!$D:$AM, 15, FALSE) / VLOOKUP("LULUCF|NOx|Infant mortality", US_national_yearly!$D:$AM, 10, FALSE), 1)</f>
        <v>4.2716171123739166E-7</v>
      </c>
      <c r="H3" s="7">
        <f>$B3 * IFERROR(VLOOKUP("LULUCF|NOx|Infant mortality", US_national_yearly!$D:$AM, 16, FALSE) / VLOOKUP("LULUCF|NOx|Infant mortality", US_national_yearly!$D:$AM, 10, FALSE), 1)</f>
        <v>2.1086163208326748E-7</v>
      </c>
      <c r="I3" s="7">
        <f>$B3 * IFERROR(VLOOKUP("LULUCF|NOx|Infant mortality", US_national_yearly!$D:$AM, 17, FALSE) / VLOOKUP("LULUCF|NOx|Infant mortality", US_national_yearly!$D:$AM, 10, FALSE), 1)</f>
        <v>2.0937063901293207E-7</v>
      </c>
      <c r="J3" s="7">
        <f>$B3 * IFERROR(VLOOKUP("LULUCF|NOx|Infant mortality", US_national_yearly!$D:$AM, 18, FALSE) / VLOOKUP("LULUCF|NOx|Infant mortality", US_national_yearly!$D:$AM, 10, FALSE), 1)</f>
        <v>2.078796459425966E-7</v>
      </c>
      <c r="K3" s="7">
        <f>$B3 * IFERROR(VLOOKUP("LULUCF|NOx|Infant mortality", US_national_yearly!$D:$AM, 19, FALSE) / VLOOKUP("LULUCF|NOx|Infant mortality", US_national_yearly!$D:$AM, 10, FALSE), 1)</f>
        <v>2.0638865287226115E-7</v>
      </c>
      <c r="L3" s="7">
        <f>$B3 * IFERROR(VLOOKUP("LULUCF|NOx|Infant mortality", US_national_yearly!$D:$AM, 20, FALSE) / VLOOKUP("LULUCF|NOx|Infant mortality", US_national_yearly!$D:$AM, 10, FALSE), 1)</f>
        <v>2.0489765980192574E-7</v>
      </c>
      <c r="M3" s="7">
        <f>$B3 * IFERROR(VLOOKUP("LULUCF|NOx|Infant mortality", US_national_yearly!$D:$AM, 21, FALSE) / VLOOKUP("LULUCF|NOx|Infant mortality", US_national_yearly!$D:$AM, 10, FALSE), 1)</f>
        <v>2.0340666673159027E-7</v>
      </c>
      <c r="N3" s="7">
        <f>$B3 * IFERROR(VLOOKUP("LULUCF|NOx|Infant mortality", US_national_yearly!$D:$AM, 22, FALSE) / VLOOKUP("LULUCF|NOx|Infant mortality", US_national_yearly!$D:$AM, 10, FALSE), 1)</f>
        <v>2.0241700787362642E-7</v>
      </c>
      <c r="O3" s="7">
        <f>$B3 * IFERROR(VLOOKUP("LULUCF|NOx|Infant mortality", US_national_yearly!$D:$AM, 23, FALSE) / VLOOKUP("LULUCF|NOx|Infant mortality", US_national_yearly!$D:$AM, 10, FALSE), 1)</f>
        <v>2.0142734901566258E-7</v>
      </c>
      <c r="P3" s="7">
        <f>$B3 * IFERROR(VLOOKUP("LULUCF|NOx|Infant mortality", US_national_yearly!$D:$AM, 24, FALSE) / VLOOKUP("LULUCF|NOx|Infant mortality", US_national_yearly!$D:$AM, 10, FALSE), 1)</f>
        <v>2.0043769015769874E-7</v>
      </c>
      <c r="Q3" s="7">
        <f>$B3 * IFERROR(VLOOKUP("LULUCF|NOx|Infant mortality", US_national_yearly!$D:$AM, 25, FALSE) / VLOOKUP("LULUCF|NOx|Infant mortality", US_national_yearly!$D:$AM, 10, FALSE), 1)</f>
        <v>1.9944803129973492E-7</v>
      </c>
      <c r="R3" s="7">
        <f>$B3 * IFERROR(VLOOKUP("LULUCF|NOx|Infant mortality", US_national_yearly!$D:$AM, 26, FALSE) / VLOOKUP("LULUCF|NOx|Infant mortality", US_national_yearly!$D:$AM, 10, FALSE), 1)</f>
        <v>1.9845837244177108E-7</v>
      </c>
      <c r="S3" s="7">
        <f>$B3 * IFERROR(VLOOKUP("LULUCF|NOx|Infant mortality", US_national_yearly!$D:$AM, 27, FALSE) / VLOOKUP("LULUCF|NOx|Infant mortality", US_national_yearly!$D:$AM, 10, FALSE), 1)</f>
        <v>1.9726864511516077E-7</v>
      </c>
      <c r="T3" s="7">
        <f>$B3 * IFERROR(VLOOKUP("LULUCF|NOx|Infant mortality", US_national_yearly!$D:$AM, 28, FALSE) / VLOOKUP("LULUCF|NOx|Infant mortality", US_national_yearly!$D:$AM, 10, FALSE), 1)</f>
        <v>1.9607891778855047E-7</v>
      </c>
      <c r="U3" s="7">
        <f>$B3 * IFERROR(VLOOKUP("LULUCF|NOx|Infant mortality", US_national_yearly!$D:$AM, 29, FALSE) / VLOOKUP("LULUCF|NOx|Infant mortality", US_national_yearly!$D:$AM, 10, FALSE), 1)</f>
        <v>1.9488919046194016E-7</v>
      </c>
      <c r="V3" s="7">
        <f>$B3 * IFERROR(VLOOKUP("LULUCF|NOx|Infant mortality", US_national_yearly!$D:$AM, 30, FALSE) / VLOOKUP("LULUCF|NOx|Infant mortality", US_national_yearly!$D:$AM, 10, FALSE), 1)</f>
        <v>1.9369946313532982E-7</v>
      </c>
      <c r="W3" s="7">
        <f>$B3 * IFERROR(VLOOKUP("LULUCF|NOx|Infant mortality", US_national_yearly!$D:$AM, 31, FALSE) / VLOOKUP("LULUCF|NOx|Infant mortality", US_national_yearly!$D:$AM, 10, FALSE), 1)</f>
        <v>1.9250973580871952E-7</v>
      </c>
      <c r="X3" s="7">
        <f>$B3 * IFERROR(VLOOKUP("LULUCF|NOx|Infant mortality", US_national_yearly!$D:$AM, 32, FALSE) / VLOOKUP("LULUCF|NOx|Infant mortality", US_national_yearly!$D:$AM, 10, FALSE), 1)</f>
        <v>1.9124975703697388E-7</v>
      </c>
      <c r="Y3" s="7">
        <f>$B3 * IFERROR(VLOOKUP("LULUCF|NOx|Infant mortality", US_national_yearly!$D:$AM, 33, FALSE) / VLOOKUP("LULUCF|NOx|Infant mortality", US_national_yearly!$D:$AM, 10, FALSE), 1)</f>
        <v>1.8998977826522821E-7</v>
      </c>
      <c r="Z3" s="7">
        <f>$B3 * IFERROR(VLOOKUP("LULUCF|NOx|Infant mortality", US_national_yearly!$D:$AM, 34, FALSE) / VLOOKUP("LULUCF|NOx|Infant mortality", US_national_yearly!$D:$AM, 10, FALSE), 1)</f>
        <v>1.8872979949348252E-7</v>
      </c>
      <c r="AA3" s="7">
        <f>$B3 * IFERROR(VLOOKUP("LULUCF|NOx|Infant mortality", US_national_yearly!$D:$AM, 35, FALSE) / VLOOKUP("LULUCF|NOx|Infant mortality", US_national_yearly!$D:$AM, 10, FALSE), 1)</f>
        <v>1.8746982072173682E-7</v>
      </c>
      <c r="AB3" s="7">
        <f>$B3 * IFERROR(VLOOKUP("LULUCF|NOx|Infant mortality", US_national_yearly!$D:$AM, 36, FALSE) / VLOOKUP("LULUCF|NOx|Infant mortality", US_national_yearly!$D:$AM, 10, FALSE), 1)</f>
        <v>1.8620984194999116E-7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5.6840052596193573E-4</v>
      </c>
      <c r="C6" s="7">
        <f>$B6 * IFERROR(VLOOKUP("LULUCF|NOx|Asthma symptoms cough", US_national_yearly!$D:$AM, 11, FALSE) / VLOOKUP("LULUCF|NOx|Asthma symptoms cough", US_national_yearly!$D:$AM, 10, FALSE), 1)</f>
        <v>5.7617149044990941E-4</v>
      </c>
      <c r="D6" s="7">
        <f>$B6 * IFERROR(VLOOKUP("LULUCF|NOx|Asthma symptoms cough", US_national_yearly!$D:$AM, 12, FALSE) / VLOOKUP("LULUCF|NOx|Asthma symptoms cough", US_national_yearly!$D:$AM, 10, FALSE), 1)</f>
        <v>5.839424549378831E-4</v>
      </c>
      <c r="E6" s="7">
        <f>$B6 * IFERROR(VLOOKUP("LULUCF|NOx|Asthma symptoms cough", US_national_yearly!$D:$AM, 13, FALSE) / VLOOKUP("LULUCF|NOx|Asthma symptoms cough", US_national_yearly!$D:$AM, 10, FALSE), 1)</f>
        <v>5.9171341942585679E-4</v>
      </c>
      <c r="F6" s="7">
        <f>$B6 * IFERROR(VLOOKUP("LULUCF|NOx|Asthma symptoms cough", US_national_yearly!$D:$AM, 14, FALSE) / VLOOKUP("LULUCF|NOx|Asthma symptoms cough", US_national_yearly!$D:$AM, 10, FALSE), 1)</f>
        <v>5.9948438391383048E-4</v>
      </c>
      <c r="G6" s="7">
        <f>$B6 * IFERROR(VLOOKUP("LULUCF|NOx|Asthma symptoms cough", US_national_yearly!$D:$AM, 15, FALSE) / VLOOKUP("LULUCF|NOx|Asthma symptoms cough", US_national_yearly!$D:$AM, 10, FALSE), 1)</f>
        <v>6.0568841313855446E-4</v>
      </c>
      <c r="H6" s="7">
        <f>$B6 * IFERROR(VLOOKUP("LULUCF|NOx|Asthma symptoms cough", US_national_yearly!$D:$AM, 16, FALSE) / VLOOKUP("LULUCF|NOx|Asthma symptoms cough", US_national_yearly!$D:$AM, 10, FALSE), 1)</f>
        <v>6.1189244236327855E-4</v>
      </c>
      <c r="I6" s="7">
        <f>$B6 * IFERROR(VLOOKUP("LULUCF|NOx|Asthma symptoms cough", US_national_yearly!$D:$AM, 17, FALSE) / VLOOKUP("LULUCF|NOx|Asthma symptoms cough", US_national_yearly!$D:$AM, 10, FALSE), 1)</f>
        <v>6.1402778053116971E-4</v>
      </c>
      <c r="J6" s="7">
        <f>$B6 * IFERROR(VLOOKUP("LULUCF|NOx|Asthma symptoms cough", US_national_yearly!$D:$AM, 18, FALSE) / VLOOKUP("LULUCF|NOx|Asthma symptoms cough", US_national_yearly!$D:$AM, 10, FALSE), 1)</f>
        <v>6.1616311869906086E-4</v>
      </c>
      <c r="K6" s="7">
        <f>$B6 * IFERROR(VLOOKUP("LULUCF|NOx|Asthma symptoms cough", US_national_yearly!$D:$AM, 19, FALSE) / VLOOKUP("LULUCF|NOx|Asthma symptoms cough", US_national_yearly!$D:$AM, 10, FALSE), 1)</f>
        <v>6.1829845686695191E-4</v>
      </c>
      <c r="L6" s="7">
        <f>$B6 * IFERROR(VLOOKUP("LULUCF|NOx|Asthma symptoms cough", US_national_yearly!$D:$AM, 20, FALSE) / VLOOKUP("LULUCF|NOx|Asthma symptoms cough", US_national_yearly!$D:$AM, 10, FALSE), 1)</f>
        <v>6.2043379503484307E-4</v>
      </c>
      <c r="M6" s="7">
        <f>$B6 * IFERROR(VLOOKUP("LULUCF|NOx|Asthma symptoms cough", US_national_yearly!$D:$AM, 21, FALSE) / VLOOKUP("LULUCF|NOx|Asthma symptoms cough", US_national_yearly!$D:$AM, 10, FALSE), 1)</f>
        <v>6.2256913320273422E-4</v>
      </c>
      <c r="N6" s="7">
        <f>$B6 * IFERROR(VLOOKUP("LULUCF|NOx|Asthma symptoms cough", US_national_yearly!$D:$AM, 22, FALSE) / VLOOKUP("LULUCF|NOx|Asthma symptoms cough", US_national_yearly!$D:$AM, 10, FALSE), 1)</f>
        <v>6.2504521682120711E-4</v>
      </c>
      <c r="O6" s="7">
        <f>$B6 * IFERROR(VLOOKUP("LULUCF|NOx|Asthma symptoms cough", US_national_yearly!$D:$AM, 23, FALSE) / VLOOKUP("LULUCF|NOx|Asthma symptoms cough", US_national_yearly!$D:$AM, 10, FALSE), 1)</f>
        <v>6.2752130043967989E-4</v>
      </c>
      <c r="P6" s="7">
        <f>$B6 * IFERROR(VLOOKUP("LULUCF|NOx|Asthma symptoms cough", US_national_yearly!$D:$AM, 24, FALSE) / VLOOKUP("LULUCF|NOx|Asthma symptoms cough", US_national_yearly!$D:$AM, 10, FALSE), 1)</f>
        <v>6.2999738405815266E-4</v>
      </c>
      <c r="Q6" s="7">
        <f>$B6 * IFERROR(VLOOKUP("LULUCF|NOx|Asthma symptoms cough", US_national_yearly!$D:$AM, 25, FALSE) / VLOOKUP("LULUCF|NOx|Asthma symptoms cough", US_national_yearly!$D:$AM, 10, FALSE), 1)</f>
        <v>6.3247346767662566E-4</v>
      </c>
      <c r="R6" s="7">
        <f>$B6 * IFERROR(VLOOKUP("LULUCF|NOx|Asthma symptoms cough", US_national_yearly!$D:$AM, 26, FALSE) / VLOOKUP("LULUCF|NOx|Asthma symptoms cough", US_national_yearly!$D:$AM, 10, FALSE), 1)</f>
        <v>6.3494955129509843E-4</v>
      </c>
      <c r="S6" s="7">
        <f>$B6 * IFERROR(VLOOKUP("LULUCF|NOx|Asthma symptoms cough", US_national_yearly!$D:$AM, 27, FALSE) / VLOOKUP("LULUCF|NOx|Asthma symptoms cough", US_national_yearly!$D:$AM, 10, FALSE), 1)</f>
        <v>6.3818410512761275E-4</v>
      </c>
      <c r="T6" s="7">
        <f>$B6 * IFERROR(VLOOKUP("LULUCF|NOx|Asthma symptoms cough", US_national_yearly!$D:$AM, 28, FALSE) / VLOOKUP("LULUCF|NOx|Asthma symptoms cough", US_national_yearly!$D:$AM, 10, FALSE), 1)</f>
        <v>6.4141865896012696E-4</v>
      </c>
      <c r="U6" s="7">
        <f>$B6 * IFERROR(VLOOKUP("LULUCF|NOx|Asthma symptoms cough", US_national_yearly!$D:$AM, 29, FALSE) / VLOOKUP("LULUCF|NOx|Asthma symptoms cough", US_national_yearly!$D:$AM, 10, FALSE), 1)</f>
        <v>6.4465321279264106E-4</v>
      </c>
      <c r="V6" s="7">
        <f>$B6 * IFERROR(VLOOKUP("LULUCF|NOx|Asthma symptoms cough", US_national_yearly!$D:$AM, 30, FALSE) / VLOOKUP("LULUCF|NOx|Asthma symptoms cough", US_national_yearly!$D:$AM, 10, FALSE), 1)</f>
        <v>6.4788776662515538E-4</v>
      </c>
      <c r="W6" s="7">
        <f>$B6 * IFERROR(VLOOKUP("LULUCF|NOx|Asthma symptoms cough", US_national_yearly!$D:$AM, 31, FALSE) / VLOOKUP("LULUCF|NOx|Asthma symptoms cough", US_national_yearly!$D:$AM, 10, FALSE), 1)</f>
        <v>6.5112232045766959E-4</v>
      </c>
      <c r="X6" s="7">
        <f>$B6 * IFERROR(VLOOKUP("LULUCF|NOx|Asthma symptoms cough", US_national_yearly!$D:$AM, 32, FALSE) / VLOOKUP("LULUCF|NOx|Asthma symptoms cough", US_national_yearly!$D:$AM, 10, FALSE), 1)</f>
        <v>6.5412768572671435E-4</v>
      </c>
      <c r="Y6" s="7">
        <f>$B6 * IFERROR(VLOOKUP("LULUCF|NOx|Asthma symptoms cough", US_national_yearly!$D:$AM, 33, FALSE) / VLOOKUP("LULUCF|NOx|Asthma symptoms cough", US_national_yearly!$D:$AM, 10, FALSE), 1)</f>
        <v>6.5713305099575901E-4</v>
      </c>
      <c r="Z6" s="7">
        <f>$B6 * IFERROR(VLOOKUP("LULUCF|NOx|Asthma symptoms cough", US_national_yearly!$D:$AM, 34, FALSE) / VLOOKUP("LULUCF|NOx|Asthma symptoms cough", US_national_yearly!$D:$AM, 10, FALSE), 1)</f>
        <v>6.6013841626480366E-4</v>
      </c>
      <c r="AA6" s="7">
        <f>$B6 * IFERROR(VLOOKUP("LULUCF|NOx|Asthma symptoms cough", US_national_yearly!$D:$AM, 35, FALSE) / VLOOKUP("LULUCF|NOx|Asthma symptoms cough", US_national_yearly!$D:$AM, 10, FALSE), 1)</f>
        <v>6.6314378153384832E-4</v>
      </c>
      <c r="AB6" s="7">
        <f>$B6 * IFERROR(VLOOKUP("LULUCF|NOx|Asthma symptoms cough", US_national_yearly!$D:$AM, 36, FALSE) / VLOOKUP("LULUCF|NOx|Asthma symptoms cough", US_national_yearly!$D:$AM, 10, FALSE), 1)</f>
        <v>6.6614914680289319E-4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7.6543284318439538E-4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7.7589756157570044E-4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7.8636227996700539E-4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7.9682699835831056E-4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8.0729171674961563E-4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8.1564633203221482E-4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8.2400094731481391E-4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8.268764864452653E-4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8.2975202557571668E-4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8.3262756470616807E-4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8.3550310383661945E-4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8.3837864296707084E-4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8.4171304473366437E-4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8.450474465002578E-4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8.4838184826685112E-4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8.5171625003344466E-4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8.5505065180003809E-4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8.5940644251850909E-4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8.6376223323698031E-4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8.681180239554512E-4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8.7247381467392209E-4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8.7682960539239299E-4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8.8087676083136086E-4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8.8492391627032873E-4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8.8897107170929671E-4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8.9301822714826459E-4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8.9706538258723235E-4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1.1694550227628903E-3</v>
      </c>
      <c r="C8" s="7">
        <f>$B8 * IFERROR(VLOOKUP("LULUCF|NOx|Asthma symptoms wheeze", US_national_yearly!$D:$AM, 11, FALSE) / VLOOKUP("LULUCF|NOx|Asthma symptoms wheeze", US_national_yearly!$D:$AM, 10, FALSE), 1)</f>
        <v>1.1854433849293833E-3</v>
      </c>
      <c r="D8" s="7">
        <f>$B8 * IFERROR(VLOOKUP("LULUCF|NOx|Asthma symptoms wheeze", US_national_yearly!$D:$AM, 12, FALSE) / VLOOKUP("LULUCF|NOx|Asthma symptoms wheeze", US_national_yearly!$D:$AM, 10, FALSE), 1)</f>
        <v>1.2014317470958767E-3</v>
      </c>
      <c r="E8" s="7">
        <f>$B8 * IFERROR(VLOOKUP("LULUCF|NOx|Asthma symptoms wheeze", US_national_yearly!$D:$AM, 13, FALSE) / VLOOKUP("LULUCF|NOx|Asthma symptoms wheeze", US_national_yearly!$D:$AM, 10, FALSE), 1)</f>
        <v>1.2174201092623694E-3</v>
      </c>
      <c r="F8" s="7">
        <f>$B8 * IFERROR(VLOOKUP("LULUCF|NOx|Asthma symptoms wheeze", US_national_yearly!$D:$AM, 14, FALSE) / VLOOKUP("LULUCF|NOx|Asthma symptoms wheeze", US_national_yearly!$D:$AM, 10, FALSE), 1)</f>
        <v>1.2334084714288624E-3</v>
      </c>
      <c r="G8" s="7">
        <f>$B8 * IFERROR(VLOOKUP("LULUCF|NOx|Asthma symptoms wheeze", US_national_yearly!$D:$AM, 15, FALSE) / VLOOKUP("LULUCF|NOx|Asthma symptoms wheeze", US_national_yearly!$D:$AM, 10, FALSE), 1)</f>
        <v>1.2461729444056466E-3</v>
      </c>
      <c r="H8" s="7">
        <f>$B8 * IFERROR(VLOOKUP("LULUCF|NOx|Asthma symptoms wheeze", US_national_yearly!$D:$AM, 16, FALSE) / VLOOKUP("LULUCF|NOx|Asthma symptoms wheeze", US_national_yearly!$D:$AM, 10, FALSE), 1)</f>
        <v>1.258937417382431E-3</v>
      </c>
      <c r="I8" s="7">
        <f>$B8 * IFERROR(VLOOKUP("LULUCF|NOx|Asthma symptoms wheeze", US_national_yearly!$D:$AM, 17, FALSE) / VLOOKUP("LULUCF|NOx|Asthma symptoms wheeze", US_national_yearly!$D:$AM, 10, FALSE), 1)</f>
        <v>1.2633307665195349E-3</v>
      </c>
      <c r="J8" s="7">
        <f>$B8 * IFERROR(VLOOKUP("LULUCF|NOx|Asthma symptoms wheeze", US_national_yearly!$D:$AM, 18, FALSE) / VLOOKUP("LULUCF|NOx|Asthma symptoms wheeze", US_national_yearly!$D:$AM, 10, FALSE), 1)</f>
        <v>1.2677241156566388E-3</v>
      </c>
      <c r="K8" s="7">
        <f>$B8 * IFERROR(VLOOKUP("LULUCF|NOx|Asthma symptoms wheeze", US_national_yearly!$D:$AM, 19, FALSE) / VLOOKUP("LULUCF|NOx|Asthma symptoms wheeze", US_national_yearly!$D:$AM, 10, FALSE), 1)</f>
        <v>1.2721174647937425E-3</v>
      </c>
      <c r="L8" s="7">
        <f>$B8 * IFERROR(VLOOKUP("LULUCF|NOx|Asthma symptoms wheeze", US_national_yearly!$D:$AM, 20, FALSE) / VLOOKUP("LULUCF|NOx|Asthma symptoms wheeze", US_national_yearly!$D:$AM, 10, FALSE), 1)</f>
        <v>1.2765108139308463E-3</v>
      </c>
      <c r="M8" s="7">
        <f>$B8 * IFERROR(VLOOKUP("LULUCF|NOx|Asthma symptoms wheeze", US_national_yearly!$D:$AM, 21, FALSE) / VLOOKUP("LULUCF|NOx|Asthma symptoms wheeze", US_national_yearly!$D:$AM, 10, FALSE), 1)</f>
        <v>1.2809041630679502E-3</v>
      </c>
      <c r="N8" s="7">
        <f>$B8 * IFERROR(VLOOKUP("LULUCF|NOx|Asthma symptoms wheeze", US_national_yearly!$D:$AM, 22, FALSE) / VLOOKUP("LULUCF|NOx|Asthma symptoms wheeze", US_national_yearly!$D:$AM, 10, FALSE), 1)</f>
        <v>1.2859985785551695E-3</v>
      </c>
      <c r="O8" s="7">
        <f>$B8 * IFERROR(VLOOKUP("LULUCF|NOx|Asthma symptoms wheeze", US_national_yearly!$D:$AM, 23, FALSE) / VLOOKUP("LULUCF|NOx|Asthma symptoms wheeze", US_national_yearly!$D:$AM, 10, FALSE), 1)</f>
        <v>1.2910929940423887E-3</v>
      </c>
      <c r="P8" s="7">
        <f>$B8 * IFERROR(VLOOKUP("LULUCF|NOx|Asthma symptoms wheeze", US_national_yearly!$D:$AM, 24, FALSE) / VLOOKUP("LULUCF|NOx|Asthma symptoms wheeze", US_national_yearly!$D:$AM, 10, FALSE), 1)</f>
        <v>1.296187409529608E-3</v>
      </c>
      <c r="Q8" s="7">
        <f>$B8 * IFERROR(VLOOKUP("LULUCF|NOx|Asthma symptoms wheeze", US_national_yearly!$D:$AM, 25, FALSE) / VLOOKUP("LULUCF|NOx|Asthma symptoms wheeze", US_national_yearly!$D:$AM, 10, FALSE), 1)</f>
        <v>1.3012818250168275E-3</v>
      </c>
      <c r="R8" s="7">
        <f>$B8 * IFERROR(VLOOKUP("LULUCF|NOx|Asthma symptoms wheeze", US_national_yearly!$D:$AM, 26, FALSE) / VLOOKUP("LULUCF|NOx|Asthma symptoms wheeze", US_national_yearly!$D:$AM, 10, FALSE), 1)</f>
        <v>1.3063762405040467E-3</v>
      </c>
      <c r="S8" s="7">
        <f>$B8 * IFERROR(VLOOKUP("LULUCF|NOx|Asthma symptoms wheeze", US_national_yearly!$D:$AM, 27, FALSE) / VLOOKUP("LULUCF|NOx|Asthma symptoms wheeze", US_national_yearly!$D:$AM, 10, FALSE), 1)</f>
        <v>1.3130311696857224E-3</v>
      </c>
      <c r="T8" s="7">
        <f>$B8 * IFERROR(VLOOKUP("LULUCF|NOx|Asthma symptoms wheeze", US_national_yearly!$D:$AM, 28, FALSE) / VLOOKUP("LULUCF|NOx|Asthma symptoms wheeze", US_national_yearly!$D:$AM, 10, FALSE), 1)</f>
        <v>1.319686098867398E-3</v>
      </c>
      <c r="U8" s="7">
        <f>$B8 * IFERROR(VLOOKUP("LULUCF|NOx|Asthma symptoms wheeze", US_national_yearly!$D:$AM, 29, FALSE) / VLOOKUP("LULUCF|NOx|Asthma symptoms wheeze", US_national_yearly!$D:$AM, 10, FALSE), 1)</f>
        <v>1.3263410280490737E-3</v>
      </c>
      <c r="V8" s="7">
        <f>$B8 * IFERROR(VLOOKUP("LULUCF|NOx|Asthma symptoms wheeze", US_national_yearly!$D:$AM, 30, FALSE) / VLOOKUP("LULUCF|NOx|Asthma symptoms wheeze", US_national_yearly!$D:$AM, 10, FALSE), 1)</f>
        <v>1.3329959572307495E-3</v>
      </c>
      <c r="W8" s="7">
        <f>$B8 * IFERROR(VLOOKUP("LULUCF|NOx|Asthma symptoms wheeze", US_national_yearly!$D:$AM, 31, FALSE) / VLOOKUP("LULUCF|NOx|Asthma symptoms wheeze", US_national_yearly!$D:$AM, 10, FALSE), 1)</f>
        <v>1.339650886412425E-3</v>
      </c>
      <c r="X8" s="7">
        <f>$B8 * IFERROR(VLOOKUP("LULUCF|NOx|Asthma symptoms wheeze", US_national_yearly!$D:$AM, 32, FALSE) / VLOOKUP("LULUCF|NOx|Asthma symptoms wheeze", US_national_yearly!$D:$AM, 10, FALSE), 1)</f>
        <v>1.3458342718372452E-3</v>
      </c>
      <c r="Y8" s="7">
        <f>$B8 * IFERROR(VLOOKUP("LULUCF|NOx|Asthma symptoms wheeze", US_national_yearly!$D:$AM, 33, FALSE) / VLOOKUP("LULUCF|NOx|Asthma symptoms wheeze", US_national_yearly!$D:$AM, 10, FALSE), 1)</f>
        <v>1.3520176572620651E-3</v>
      </c>
      <c r="Z8" s="7">
        <f>$B8 * IFERROR(VLOOKUP("LULUCF|NOx|Asthma symptoms wheeze", US_national_yearly!$D:$AM, 34, FALSE) / VLOOKUP("LULUCF|NOx|Asthma symptoms wheeze", US_national_yearly!$D:$AM, 10, FALSE), 1)</f>
        <v>1.3582010426868853E-3</v>
      </c>
      <c r="AA8" s="7">
        <f>$B8 * IFERROR(VLOOKUP("LULUCF|NOx|Asthma symptoms wheeze", US_national_yearly!$D:$AM, 35, FALSE) / VLOOKUP("LULUCF|NOx|Asthma symptoms wheeze", US_national_yearly!$D:$AM, 10, FALSE), 1)</f>
        <v>1.3643844281117053E-3</v>
      </c>
      <c r="AB8" s="7">
        <f>$B8 * IFERROR(VLOOKUP("LULUCF|NOx|Asthma symptoms wheeze", US_national_yearly!$D:$AM, 36, FALSE) / VLOOKUP("LULUCF|NOx|Asthma symptoms wheeze", US_national_yearly!$D:$AM, 10, FALSE), 1)</f>
        <v>1.3705678135365255E-3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1.6220696504382941E-5</v>
      </c>
      <c r="C12" s="7">
        <f>$B12 * IFERROR(VLOOKUP("LULUCF|NOx|Respiratory hospital admissions", US_national_yearly!$D:$AM, 11, FALSE) / VLOOKUP("LULUCF|NOx|Respiratory hospital admissions", US_national_yearly!$D:$AM, 10, FALSE), 1)</f>
        <v>1.6625316339927287E-5</v>
      </c>
      <c r="D12" s="7">
        <f>$B12 * IFERROR(VLOOKUP("LULUCF|NOx|Respiratory hospital admissions", US_national_yearly!$D:$AM, 12, FALSE) / VLOOKUP("LULUCF|NOx|Respiratory hospital admissions", US_national_yearly!$D:$AM, 10, FALSE), 1)</f>
        <v>1.7029936175471633E-5</v>
      </c>
      <c r="E12" s="7">
        <f>$B12 * IFERROR(VLOOKUP("LULUCF|NOx|Respiratory hospital admissions", US_national_yearly!$D:$AM, 13, FALSE) / VLOOKUP("LULUCF|NOx|Respiratory hospital admissions", US_national_yearly!$D:$AM, 10, FALSE), 1)</f>
        <v>1.7434556011015982E-5</v>
      </c>
      <c r="F12" s="7">
        <f>$B12 * IFERROR(VLOOKUP("LULUCF|NOx|Respiratory hospital admissions", US_national_yearly!$D:$AM, 14, FALSE) / VLOOKUP("LULUCF|NOx|Respiratory hospital admissions", US_national_yearly!$D:$AM, 10, FALSE), 1)</f>
        <v>1.7839175846560332E-5</v>
      </c>
      <c r="G12" s="7">
        <f>$B12 * IFERROR(VLOOKUP("LULUCF|NOx|Respiratory hospital admissions", US_national_yearly!$D:$AM, 15, FALSE) / VLOOKUP("LULUCF|NOx|Respiratory hospital admissions", US_national_yearly!$D:$AM, 10, FALSE), 1)</f>
        <v>1.8226006180960618E-5</v>
      </c>
      <c r="H12" s="7">
        <f>$B12 * IFERROR(VLOOKUP("LULUCF|NOx|Respiratory hospital admissions", US_national_yearly!$D:$AM, 16, FALSE) / VLOOKUP("LULUCF|NOx|Respiratory hospital admissions", US_national_yearly!$D:$AM, 10, FALSE), 1)</f>
        <v>1.8612836515360908E-5</v>
      </c>
      <c r="I12" s="7">
        <f>$B12 * IFERROR(VLOOKUP("LULUCF|NOx|Respiratory hospital admissions", US_national_yearly!$D:$AM, 17, FALSE) / VLOOKUP("LULUCF|NOx|Respiratory hospital admissions", US_national_yearly!$D:$AM, 10, FALSE), 1)</f>
        <v>1.8941263421693638E-5</v>
      </c>
      <c r="J12" s="7">
        <f>$B12 * IFERROR(VLOOKUP("LULUCF|NOx|Respiratory hospital admissions", US_national_yearly!$D:$AM, 18, FALSE) / VLOOKUP("LULUCF|NOx|Respiratory hospital admissions", US_national_yearly!$D:$AM, 10, FALSE), 1)</f>
        <v>1.9269690328026362E-5</v>
      </c>
      <c r="K12" s="7">
        <f>$B12 * IFERROR(VLOOKUP("LULUCF|NOx|Respiratory hospital admissions", US_national_yearly!$D:$AM, 19, FALSE) / VLOOKUP("LULUCF|NOx|Respiratory hospital admissions", US_national_yearly!$D:$AM, 10, FALSE), 1)</f>
        <v>1.959811723435909E-5</v>
      </c>
      <c r="L12" s="7">
        <f>$B12 * IFERROR(VLOOKUP("LULUCF|NOx|Respiratory hospital admissions", US_national_yearly!$D:$AM, 20, FALSE) / VLOOKUP("LULUCF|NOx|Respiratory hospital admissions", US_national_yearly!$D:$AM, 10, FALSE), 1)</f>
        <v>1.992654414069182E-5</v>
      </c>
      <c r="M12" s="7">
        <f>$B12 * IFERROR(VLOOKUP("LULUCF|NOx|Respiratory hospital admissions", US_national_yearly!$D:$AM, 21, FALSE) / VLOOKUP("LULUCF|NOx|Respiratory hospital admissions", US_national_yearly!$D:$AM, 10, FALSE), 1)</f>
        <v>2.0254971047024548E-5</v>
      </c>
      <c r="N12" s="7">
        <f>$B12 * IFERROR(VLOOKUP("LULUCF|NOx|Respiratory hospital admissions", US_national_yearly!$D:$AM, 22, FALSE) / VLOOKUP("LULUCF|NOx|Respiratory hospital admissions", US_national_yearly!$D:$AM, 10, FALSE), 1)</f>
        <v>2.0474530347089704E-5</v>
      </c>
      <c r="O12" s="7">
        <f>$B12 * IFERROR(VLOOKUP("LULUCF|NOx|Respiratory hospital admissions", US_national_yearly!$D:$AM, 23, FALSE) / VLOOKUP("LULUCF|NOx|Respiratory hospital admissions", US_national_yearly!$D:$AM, 10, FALSE), 1)</f>
        <v>2.0694089647154865E-5</v>
      </c>
      <c r="P12" s="7">
        <f>$B12 * IFERROR(VLOOKUP("LULUCF|NOx|Respiratory hospital admissions", US_national_yearly!$D:$AM, 24, FALSE) / VLOOKUP("LULUCF|NOx|Respiratory hospital admissions", US_national_yearly!$D:$AM, 10, FALSE), 1)</f>
        <v>2.0913648947220025E-5</v>
      </c>
      <c r="Q12" s="7">
        <f>$B12 * IFERROR(VLOOKUP("LULUCF|NOx|Respiratory hospital admissions", US_national_yearly!$D:$AM, 25, FALSE) / VLOOKUP("LULUCF|NOx|Respiratory hospital admissions", US_national_yearly!$D:$AM, 10, FALSE), 1)</f>
        <v>2.1133208247285189E-5</v>
      </c>
      <c r="R12" s="7">
        <f>$B12 * IFERROR(VLOOKUP("LULUCF|NOx|Respiratory hospital admissions", US_national_yearly!$D:$AM, 26, FALSE) / VLOOKUP("LULUCF|NOx|Respiratory hospital admissions", US_national_yearly!$D:$AM, 10, FALSE), 1)</f>
        <v>2.1352767547350346E-5</v>
      </c>
      <c r="S12" s="7">
        <f>$B12 * IFERROR(VLOOKUP("LULUCF|NOx|Respiratory hospital admissions", US_national_yearly!$D:$AM, 27, FALSE) / VLOOKUP("LULUCF|NOx|Respiratory hospital admissions", US_national_yearly!$D:$AM, 10, FALSE), 1)</f>
        <v>2.1470401470957362E-5</v>
      </c>
      <c r="T12" s="7">
        <f>$B12 * IFERROR(VLOOKUP("LULUCF|NOx|Respiratory hospital admissions", US_national_yearly!$D:$AM, 28, FALSE) / VLOOKUP("LULUCF|NOx|Respiratory hospital admissions", US_national_yearly!$D:$AM, 10, FALSE), 1)</f>
        <v>2.1588035394564379E-5</v>
      </c>
      <c r="U12" s="7">
        <f>$B12 * IFERROR(VLOOKUP("LULUCF|NOx|Respiratory hospital admissions", US_national_yearly!$D:$AM, 29, FALSE) / VLOOKUP("LULUCF|NOx|Respiratory hospital admissions", US_national_yearly!$D:$AM, 10, FALSE), 1)</f>
        <v>2.1705669318171392E-5</v>
      </c>
      <c r="V12" s="7">
        <f>$B12 * IFERROR(VLOOKUP("LULUCF|NOx|Respiratory hospital admissions", US_national_yearly!$D:$AM, 30, FALSE) / VLOOKUP("LULUCF|NOx|Respiratory hospital admissions", US_national_yearly!$D:$AM, 10, FALSE), 1)</f>
        <v>2.1823303241778406E-5</v>
      </c>
      <c r="W12" s="7">
        <f>$B12 * IFERROR(VLOOKUP("LULUCF|NOx|Respiratory hospital admissions", US_national_yearly!$D:$AM, 31, FALSE) / VLOOKUP("LULUCF|NOx|Respiratory hospital admissions", US_national_yearly!$D:$AM, 10, FALSE), 1)</f>
        <v>2.1940937165385426E-5</v>
      </c>
      <c r="X12" s="7">
        <f>$B12 * IFERROR(VLOOKUP("LULUCF|NOx|Respiratory hospital admissions", US_national_yearly!$D:$AM, 32, FALSE) / VLOOKUP("LULUCF|NOx|Respiratory hospital admissions", US_national_yearly!$D:$AM, 10, FALSE), 1)</f>
        <v>2.202132466958495E-5</v>
      </c>
      <c r="Y12" s="7">
        <f>$B12 * IFERROR(VLOOKUP("LULUCF|NOx|Respiratory hospital admissions", US_national_yearly!$D:$AM, 33, FALSE) / VLOOKUP("LULUCF|NOx|Respiratory hospital admissions", US_national_yearly!$D:$AM, 10, FALSE), 1)</f>
        <v>2.2101712173784481E-5</v>
      </c>
      <c r="Z12" s="7">
        <f>$B12 * IFERROR(VLOOKUP("LULUCF|NOx|Respiratory hospital admissions", US_national_yearly!$D:$AM, 34, FALSE) / VLOOKUP("LULUCF|NOx|Respiratory hospital admissions", US_national_yearly!$D:$AM, 10, FALSE), 1)</f>
        <v>2.2182099677984009E-5</v>
      </c>
      <c r="AA12" s="7">
        <f>$B12 * IFERROR(VLOOKUP("LULUCF|NOx|Respiratory hospital admissions", US_national_yearly!$D:$AM, 35, FALSE) / VLOOKUP("LULUCF|NOx|Respiratory hospital admissions", US_national_yearly!$D:$AM, 10, FALSE), 1)</f>
        <v>2.2262487182183536E-5</v>
      </c>
      <c r="AB12" s="7">
        <f>$B12 * IFERROR(VLOOKUP("LULUCF|NOx|Respiratory hospital admissions", US_national_yearly!$D:$AM, 36, FALSE) / VLOOKUP("LULUCF|NOx|Respiratory hospital admissions", US_national_yearly!$D:$AM, 10, FALSE), 1)</f>
        <v>2.2342874686383064E-5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1.0184100245726171E-4</v>
      </c>
      <c r="C13" s="7">
        <f>$B13 * IFERROR(VLOOKUP("LULUCF|NOx|Non-fatal heart attacks", US_national_yearly!$D:$AM, 11, FALSE) / VLOOKUP("LULUCF|NOx|Non-fatal heart attacks", US_national_yearly!$D:$AM, 10, FALSE), 1)</f>
        <v>1.0475254698986682E-4</v>
      </c>
      <c r="D13" s="7">
        <f>$B13 * IFERROR(VLOOKUP("LULUCF|NOx|Non-fatal heart attacks", US_national_yearly!$D:$AM, 12, FALSE) / VLOOKUP("LULUCF|NOx|Non-fatal heart attacks", US_national_yearly!$D:$AM, 10, FALSE), 1)</f>
        <v>1.0766409152247194E-4</v>
      </c>
      <c r="E13" s="7">
        <f>$B13 * IFERROR(VLOOKUP("LULUCF|NOx|Non-fatal heart attacks", US_national_yearly!$D:$AM, 13, FALSE) / VLOOKUP("LULUCF|NOx|Non-fatal heart attacks", US_national_yearly!$D:$AM, 10, FALSE), 1)</f>
        <v>1.1057563605507703E-4</v>
      </c>
      <c r="F13" s="7">
        <f>$B13 * IFERROR(VLOOKUP("LULUCF|NOx|Non-fatal heart attacks", US_national_yearly!$D:$AM, 14, FALSE) / VLOOKUP("LULUCF|NOx|Non-fatal heart attacks", US_national_yearly!$D:$AM, 10, FALSE), 1)</f>
        <v>1.1348718058768214E-4</v>
      </c>
      <c r="G13" s="7">
        <f>$B13 * IFERROR(VLOOKUP("LULUCF|NOx|Non-fatal heart attacks", US_national_yearly!$D:$AM, 15, FALSE) / VLOOKUP("LULUCF|NOx|Non-fatal heart attacks", US_national_yearly!$D:$AM, 10, FALSE), 1)</f>
        <v>1.1620801290220144E-4</v>
      </c>
      <c r="H13" s="7">
        <f>$B13 * IFERROR(VLOOKUP("LULUCF|NOx|Non-fatal heart attacks", US_national_yearly!$D:$AM, 16, FALSE) / VLOOKUP("LULUCF|NOx|Non-fatal heart attacks", US_national_yearly!$D:$AM, 10, FALSE), 1)</f>
        <v>1.1892884521672073E-4</v>
      </c>
      <c r="I13" s="7">
        <f>$B13 * IFERROR(VLOOKUP("LULUCF|NOx|Non-fatal heart attacks", US_national_yearly!$D:$AM, 17, FALSE) / VLOOKUP("LULUCF|NOx|Non-fatal heart attacks", US_national_yearly!$D:$AM, 10, FALSE), 1)</f>
        <v>1.2107391047588896E-4</v>
      </c>
      <c r="J13" s="7">
        <f>$B13 * IFERROR(VLOOKUP("LULUCF|NOx|Non-fatal heart attacks", US_national_yearly!$D:$AM, 18, FALSE) / VLOOKUP("LULUCF|NOx|Non-fatal heart attacks", US_national_yearly!$D:$AM, 10, FALSE), 1)</f>
        <v>1.232189757350572E-4</v>
      </c>
      <c r="K13" s="7">
        <f>$B13 * IFERROR(VLOOKUP("LULUCF|NOx|Non-fatal heart attacks", US_national_yearly!$D:$AM, 19, FALSE) / VLOOKUP("LULUCF|NOx|Non-fatal heart attacks", US_national_yearly!$D:$AM, 10, FALSE), 1)</f>
        <v>1.2536404099422536E-4</v>
      </c>
      <c r="L13" s="7">
        <f>$B13 * IFERROR(VLOOKUP("LULUCF|NOx|Non-fatal heart attacks", US_national_yearly!$D:$AM, 20, FALSE) / VLOOKUP("LULUCF|NOx|Non-fatal heart attacks", US_national_yearly!$D:$AM, 10, FALSE), 1)</f>
        <v>1.2750910625339369E-4</v>
      </c>
      <c r="M13" s="7">
        <f>$B13 * IFERROR(VLOOKUP("LULUCF|NOx|Non-fatal heart attacks", US_national_yearly!$D:$AM, 21, FALSE) / VLOOKUP("LULUCF|NOx|Non-fatal heart attacks", US_national_yearly!$D:$AM, 10, FALSE), 1)</f>
        <v>1.296541715125619E-4</v>
      </c>
      <c r="N13" s="7">
        <f>$B13 * IFERROR(VLOOKUP("LULUCF|NOx|Non-fatal heart attacks", US_national_yearly!$D:$AM, 22, FALSE) / VLOOKUP("LULUCF|NOx|Non-fatal heart attacks", US_national_yearly!$D:$AM, 10, FALSE), 1)</f>
        <v>1.3094470782496585E-4</v>
      </c>
      <c r="O13" s="7">
        <f>$B13 * IFERROR(VLOOKUP("LULUCF|NOx|Non-fatal heart attacks", US_national_yearly!$D:$AM, 23, FALSE) / VLOOKUP("LULUCF|NOx|Non-fatal heart attacks", US_national_yearly!$D:$AM, 10, FALSE), 1)</f>
        <v>1.322352441373698E-4</v>
      </c>
      <c r="P13" s="7">
        <f>$B13 * IFERROR(VLOOKUP("LULUCF|NOx|Non-fatal heart attacks", US_national_yearly!$D:$AM, 24, FALSE) / VLOOKUP("LULUCF|NOx|Non-fatal heart attacks", US_national_yearly!$D:$AM, 10, FALSE), 1)</f>
        <v>1.3352578044977372E-4</v>
      </c>
      <c r="Q13" s="7">
        <f>$B13 * IFERROR(VLOOKUP("LULUCF|NOx|Non-fatal heart attacks", US_national_yearly!$D:$AM, 25, FALSE) / VLOOKUP("LULUCF|NOx|Non-fatal heart attacks", US_national_yearly!$D:$AM, 10, FALSE), 1)</f>
        <v>1.3481631676217766E-4</v>
      </c>
      <c r="R13" s="7">
        <f>$B13 * IFERROR(VLOOKUP("LULUCF|NOx|Non-fatal heart attacks", US_national_yearly!$D:$AM, 26, FALSE) / VLOOKUP("LULUCF|NOx|Non-fatal heart attacks", US_national_yearly!$D:$AM, 10, FALSE), 1)</f>
        <v>1.3610685307458161E-4</v>
      </c>
      <c r="S13" s="7">
        <f>$B13 * IFERROR(VLOOKUP("LULUCF|NOx|Non-fatal heart attacks", US_national_yearly!$D:$AM, 27, FALSE) / VLOOKUP("LULUCF|NOx|Non-fatal heart attacks", US_national_yearly!$D:$AM, 10, FALSE), 1)</f>
        <v>1.3669224927171728E-4</v>
      </c>
      <c r="T13" s="7">
        <f>$B13 * IFERROR(VLOOKUP("LULUCF|NOx|Non-fatal heart attacks", US_national_yearly!$D:$AM, 28, FALSE) / VLOOKUP("LULUCF|NOx|Non-fatal heart attacks", US_national_yearly!$D:$AM, 10, FALSE), 1)</f>
        <v>1.3727764546885292E-4</v>
      </c>
      <c r="U13" s="7">
        <f>$B13 * IFERROR(VLOOKUP("LULUCF|NOx|Non-fatal heart attacks", US_national_yearly!$D:$AM, 29, FALSE) / VLOOKUP("LULUCF|NOx|Non-fatal heart attacks", US_national_yearly!$D:$AM, 10, FALSE), 1)</f>
        <v>1.3786304166598859E-4</v>
      </c>
      <c r="V13" s="7">
        <f>$B13 * IFERROR(VLOOKUP("LULUCF|NOx|Non-fatal heart attacks", US_national_yearly!$D:$AM, 30, FALSE) / VLOOKUP("LULUCF|NOx|Non-fatal heart attacks", US_national_yearly!$D:$AM, 10, FALSE), 1)</f>
        <v>1.3844843786312426E-4</v>
      </c>
      <c r="W13" s="7">
        <f>$B13 * IFERROR(VLOOKUP("LULUCF|NOx|Non-fatal heart attacks", US_national_yearly!$D:$AM, 31, FALSE) / VLOOKUP("LULUCF|NOx|Non-fatal heart attacks", US_national_yearly!$D:$AM, 10, FALSE), 1)</f>
        <v>1.3903383406025993E-4</v>
      </c>
      <c r="X13" s="7">
        <f>$B13 * IFERROR(VLOOKUP("LULUCF|NOx|Non-fatal heart attacks", US_national_yearly!$D:$AM, 32, FALSE) / VLOOKUP("LULUCF|NOx|Non-fatal heart attacks", US_national_yearly!$D:$AM, 10, FALSE), 1)</f>
        <v>1.3942502660168628E-4</v>
      </c>
      <c r="Y13" s="7">
        <f>$B13 * IFERROR(VLOOKUP("LULUCF|NOx|Non-fatal heart attacks", US_national_yearly!$D:$AM, 33, FALSE) / VLOOKUP("LULUCF|NOx|Non-fatal heart attacks", US_national_yearly!$D:$AM, 10, FALSE), 1)</f>
        <v>1.3981621914311269E-4</v>
      </c>
      <c r="Z13" s="7">
        <f>$B13 * IFERROR(VLOOKUP("LULUCF|NOx|Non-fatal heart attacks", US_national_yearly!$D:$AM, 34, FALSE) / VLOOKUP("LULUCF|NOx|Non-fatal heart attacks", US_national_yearly!$D:$AM, 10, FALSE), 1)</f>
        <v>1.4020741168453905E-4</v>
      </c>
      <c r="AA13" s="7">
        <f>$B13 * IFERROR(VLOOKUP("LULUCF|NOx|Non-fatal heart attacks", US_national_yearly!$D:$AM, 35, FALSE) / VLOOKUP("LULUCF|NOx|Non-fatal heart attacks", US_national_yearly!$D:$AM, 10, FALSE), 1)</f>
        <v>1.4059860422596543E-4</v>
      </c>
      <c r="AB13" s="7">
        <f>$B13 * IFERROR(VLOOKUP("LULUCF|NOx|Non-fatal heart attacks", US_national_yearly!$D:$AM, 36, FALSE) / VLOOKUP("LULUCF|NOx|Non-fatal heart attacks", US_national_yearly!$D:$AM, 10, FALSE), 1)</f>
        <v>1.4098979676739181E-4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7.4374120603338506E-2</v>
      </c>
      <c r="C14" s="7">
        <f>$B14 * IFERROR(VLOOKUP("LULUCF|NOx|Minor restricted activity days", US_national_yearly!$D:$AM, 11, FALSE) / VLOOKUP("LULUCF|NOx|Minor restricted activity days", US_national_yearly!$D:$AM, 10, FALSE), 1)</f>
        <v>7.4488148611585883E-2</v>
      </c>
      <c r="D14" s="7">
        <f>$B14 * IFERROR(VLOOKUP("LULUCF|NOx|Minor restricted activity days", US_national_yearly!$D:$AM, 12, FALSE) / VLOOKUP("LULUCF|NOx|Minor restricted activity days", US_national_yearly!$D:$AM, 10, FALSE), 1)</f>
        <v>7.4602176619833274E-2</v>
      </c>
      <c r="E14" s="7">
        <f>$B14 * IFERROR(VLOOKUP("LULUCF|NOx|Minor restricted activity days", US_national_yearly!$D:$AM, 13, FALSE) / VLOOKUP("LULUCF|NOx|Minor restricted activity days", US_national_yearly!$D:$AM, 10, FALSE), 1)</f>
        <v>7.4716204628080665E-2</v>
      </c>
      <c r="F14" s="7">
        <f>$B14 * IFERROR(VLOOKUP("LULUCF|NOx|Minor restricted activity days", US_national_yearly!$D:$AM, 14, FALSE) / VLOOKUP("LULUCF|NOx|Minor restricted activity days", US_national_yearly!$D:$AM, 10, FALSE), 1)</f>
        <v>7.4830232636328042E-2</v>
      </c>
      <c r="G14" s="7">
        <f>$B14 * IFERROR(VLOOKUP("LULUCF|NOx|Minor restricted activity days", US_national_yearly!$D:$AM, 15, FALSE) / VLOOKUP("LULUCF|NOx|Minor restricted activity days", US_national_yearly!$D:$AM, 10, FALSE), 1)</f>
        <v>7.5036140078224664E-2</v>
      </c>
      <c r="H14" s="7">
        <f>$B14 * IFERROR(VLOOKUP("LULUCF|NOx|Minor restricted activity days", US_national_yearly!$D:$AM, 16, FALSE) / VLOOKUP("LULUCF|NOx|Minor restricted activity days", US_national_yearly!$D:$AM, 10, FALSE), 1)</f>
        <v>7.5242047520121258E-2</v>
      </c>
      <c r="I14" s="7">
        <f>$B14 * IFERROR(VLOOKUP("LULUCF|NOx|Minor restricted activity days", US_national_yearly!$D:$AM, 17, FALSE) / VLOOKUP("LULUCF|NOx|Minor restricted activity days", US_national_yearly!$D:$AM, 10, FALSE), 1)</f>
        <v>7.5644794334048249E-2</v>
      </c>
      <c r="J14" s="7">
        <f>$B14 * IFERROR(VLOOKUP("LULUCF|NOx|Minor restricted activity days", US_national_yearly!$D:$AM, 18, FALSE) / VLOOKUP("LULUCF|NOx|Minor restricted activity days", US_national_yearly!$D:$AM, 10, FALSE), 1)</f>
        <v>7.6047541147975226E-2</v>
      </c>
      <c r="K14" s="7">
        <f>$B14 * IFERROR(VLOOKUP("LULUCF|NOx|Minor restricted activity days", US_national_yearly!$D:$AM, 19, FALSE) / VLOOKUP("LULUCF|NOx|Minor restricted activity days", US_national_yearly!$D:$AM, 10, FALSE), 1)</f>
        <v>7.6450287961902216E-2</v>
      </c>
      <c r="L14" s="7">
        <f>$B14 * IFERROR(VLOOKUP("LULUCF|NOx|Minor restricted activity days", US_national_yearly!$D:$AM, 20, FALSE) / VLOOKUP("LULUCF|NOx|Minor restricted activity days", US_national_yearly!$D:$AM, 10, FALSE), 1)</f>
        <v>7.6853034775829193E-2</v>
      </c>
      <c r="M14" s="7">
        <f>$B14 * IFERROR(VLOOKUP("LULUCF|NOx|Minor restricted activity days", US_national_yearly!$D:$AM, 21, FALSE) / VLOOKUP("LULUCF|NOx|Minor restricted activity days", US_national_yearly!$D:$AM, 10, FALSE), 1)</f>
        <v>7.7255781589756184E-2</v>
      </c>
      <c r="N14" s="7">
        <f>$B14 * IFERROR(VLOOKUP("LULUCF|NOx|Minor restricted activity days", US_national_yearly!$D:$AM, 22, FALSE) / VLOOKUP("LULUCF|NOx|Minor restricted activity days", US_national_yearly!$D:$AM, 10, FALSE), 1)</f>
        <v>7.7832423706437517E-2</v>
      </c>
      <c r="O14" s="7">
        <f>$B14 * IFERROR(VLOOKUP("LULUCF|NOx|Minor restricted activity days", US_national_yearly!$D:$AM, 23, FALSE) / VLOOKUP("LULUCF|NOx|Minor restricted activity days", US_national_yearly!$D:$AM, 10, FALSE), 1)</f>
        <v>7.8409065823118865E-2</v>
      </c>
      <c r="P14" s="7">
        <f>$B14 * IFERROR(VLOOKUP("LULUCF|NOx|Minor restricted activity days", US_national_yearly!$D:$AM, 24, FALSE) / VLOOKUP("LULUCF|NOx|Minor restricted activity days", US_national_yearly!$D:$AM, 10, FALSE), 1)</f>
        <v>7.8985707939800212E-2</v>
      </c>
      <c r="Q14" s="7">
        <f>$B14 * IFERROR(VLOOKUP("LULUCF|NOx|Minor restricted activity days", US_national_yearly!$D:$AM, 25, FALSE) / VLOOKUP("LULUCF|NOx|Minor restricted activity days", US_national_yearly!$D:$AM, 10, FALSE), 1)</f>
        <v>7.9562350056481559E-2</v>
      </c>
      <c r="R14" s="7">
        <f>$B14 * IFERROR(VLOOKUP("LULUCF|NOx|Minor restricted activity days", US_national_yearly!$D:$AM, 26, FALSE) / VLOOKUP("LULUCF|NOx|Minor restricted activity days", US_national_yearly!$D:$AM, 10, FALSE), 1)</f>
        <v>8.0138992173162907E-2</v>
      </c>
      <c r="S14" s="7">
        <f>$B14 * IFERROR(VLOOKUP("LULUCF|NOx|Minor restricted activity days", US_national_yearly!$D:$AM, 27, FALSE) / VLOOKUP("LULUCF|NOx|Minor restricted activity days", US_national_yearly!$D:$AM, 10, FALSE), 1)</f>
        <v>8.0715513052073432E-2</v>
      </c>
      <c r="T14" s="7">
        <f>$B14 * IFERROR(VLOOKUP("LULUCF|NOx|Minor restricted activity days", US_national_yearly!$D:$AM, 28, FALSE) / VLOOKUP("LULUCF|NOx|Minor restricted activity days", US_national_yearly!$D:$AM, 10, FALSE), 1)</f>
        <v>8.1292033930983942E-2</v>
      </c>
      <c r="U14" s="7">
        <f>$B14 * IFERROR(VLOOKUP("LULUCF|NOx|Minor restricted activity days", US_national_yearly!$D:$AM, 29, FALSE) / VLOOKUP("LULUCF|NOx|Minor restricted activity days", US_national_yearly!$D:$AM, 10, FALSE), 1)</f>
        <v>8.1868554809894467E-2</v>
      </c>
      <c r="V14" s="7">
        <f>$B14 * IFERROR(VLOOKUP("LULUCF|NOx|Minor restricted activity days", US_national_yearly!$D:$AM, 30, FALSE) / VLOOKUP("LULUCF|NOx|Minor restricted activity days", US_national_yearly!$D:$AM, 10, FALSE), 1)</f>
        <v>8.2445075688804992E-2</v>
      </c>
      <c r="W14" s="7">
        <f>$B14 * IFERROR(VLOOKUP("LULUCF|NOx|Minor restricted activity days", US_national_yearly!$D:$AM, 31, FALSE) / VLOOKUP("LULUCF|NOx|Minor restricted activity days", US_national_yearly!$D:$AM, 10, FALSE), 1)</f>
        <v>8.3021596567715489E-2</v>
      </c>
      <c r="X14" s="7">
        <f>$B14 * IFERROR(VLOOKUP("LULUCF|NOx|Minor restricted activity days", US_national_yearly!$D:$AM, 32, FALSE) / VLOOKUP("LULUCF|NOx|Minor restricted activity days", US_national_yearly!$D:$AM, 10, FALSE), 1)</f>
        <v>8.3509023007793018E-2</v>
      </c>
      <c r="Y14" s="7">
        <f>$B14 * IFERROR(VLOOKUP("LULUCF|NOx|Minor restricted activity days", US_national_yearly!$D:$AM, 33, FALSE) / VLOOKUP("LULUCF|NOx|Minor restricted activity days", US_national_yearly!$D:$AM, 10, FALSE), 1)</f>
        <v>8.3996449447870547E-2</v>
      </c>
      <c r="Z14" s="7">
        <f>$B14 * IFERROR(VLOOKUP("LULUCF|NOx|Minor restricted activity days", US_national_yearly!$D:$AM, 34, FALSE) / VLOOKUP("LULUCF|NOx|Minor restricted activity days", US_national_yearly!$D:$AM, 10, FALSE), 1)</f>
        <v>8.4483875887948076E-2</v>
      </c>
      <c r="AA14" s="7">
        <f>$B14 * IFERROR(VLOOKUP("LULUCF|NOx|Minor restricted activity days", US_national_yearly!$D:$AM, 35, FALSE) / VLOOKUP("LULUCF|NOx|Minor restricted activity days", US_national_yearly!$D:$AM, 10, FALSE), 1)</f>
        <v>8.4971302328025605E-2</v>
      </c>
      <c r="AB14" s="7">
        <f>$B14 * IFERROR(VLOOKUP("LULUCF|NOx|Minor restricted activity days", US_national_yearly!$D:$AM, 36, FALSE) / VLOOKUP("LULUCF|NOx|Minor restricted activity days", US_national_yearly!$D:$AM, 10, FALSE), 1)</f>
        <v>8.5458728768103134E-2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1.2635636662996622E-2</v>
      </c>
      <c r="C15" s="7">
        <f>$B15 * IFERROR(VLOOKUP("LULUCF|NOx|Work loss days", US_national_yearly!$D:$AM, 11, FALSE) / VLOOKUP("LULUCF|NOx|Work loss days", US_national_yearly!$D:$AM, 10, FALSE), 1)</f>
        <v>1.2663743956999145E-2</v>
      </c>
      <c r="D15" s="7">
        <f>$B15 * IFERROR(VLOOKUP("LULUCF|NOx|Work loss days", US_national_yearly!$D:$AM, 12, FALSE) / VLOOKUP("LULUCF|NOx|Work loss days", US_national_yearly!$D:$AM, 10, FALSE), 1)</f>
        <v>1.269185125100167E-2</v>
      </c>
      <c r="E15" s="7">
        <f>$B15 * IFERROR(VLOOKUP("LULUCF|NOx|Work loss days", US_national_yearly!$D:$AM, 13, FALSE) / VLOOKUP("LULUCF|NOx|Work loss days", US_national_yearly!$D:$AM, 10, FALSE), 1)</f>
        <v>1.2719958545004191E-2</v>
      </c>
      <c r="F15" s="7">
        <f>$B15 * IFERROR(VLOOKUP("LULUCF|NOx|Work loss days", US_national_yearly!$D:$AM, 14, FALSE) / VLOOKUP("LULUCF|NOx|Work loss days", US_national_yearly!$D:$AM, 10, FALSE), 1)</f>
        <v>1.2748065839006716E-2</v>
      </c>
      <c r="G15" s="7">
        <f>$B15 * IFERROR(VLOOKUP("LULUCF|NOx|Work loss days", US_national_yearly!$D:$AM, 15, FALSE) / VLOOKUP("LULUCF|NOx|Work loss days", US_national_yearly!$D:$AM, 10, FALSE), 1)</f>
        <v>1.2789102728018097E-2</v>
      </c>
      <c r="H15" s="7">
        <f>$B15 * IFERROR(VLOOKUP("LULUCF|NOx|Work loss days", US_national_yearly!$D:$AM, 16, FALSE) / VLOOKUP("LULUCF|NOx|Work loss days", US_national_yearly!$D:$AM, 10, FALSE), 1)</f>
        <v>1.2830139617029482E-2</v>
      </c>
      <c r="I15" s="7">
        <f>$B15 * IFERROR(VLOOKUP("LULUCF|NOx|Work loss days", US_national_yearly!$D:$AM, 17, FALSE) / VLOOKUP("LULUCF|NOx|Work loss days", US_national_yearly!$D:$AM, 10, FALSE), 1)</f>
        <v>1.2896617153183791E-2</v>
      </c>
      <c r="J15" s="7">
        <f>$B15 * IFERROR(VLOOKUP("LULUCF|NOx|Work loss days", US_national_yearly!$D:$AM, 18, FALSE) / VLOOKUP("LULUCF|NOx|Work loss days", US_national_yearly!$D:$AM, 10, FALSE), 1)</f>
        <v>1.2963094689338104E-2</v>
      </c>
      <c r="K15" s="7">
        <f>$B15 * IFERROR(VLOOKUP("LULUCF|NOx|Work loss days", US_national_yearly!$D:$AM, 19, FALSE) / VLOOKUP("LULUCF|NOx|Work loss days", US_national_yearly!$D:$AM, 10, FALSE), 1)</f>
        <v>1.3029572225492413E-2</v>
      </c>
      <c r="L15" s="7">
        <f>$B15 * IFERROR(VLOOKUP("LULUCF|NOx|Work loss days", US_national_yearly!$D:$AM, 20, FALSE) / VLOOKUP("LULUCF|NOx|Work loss days", US_national_yearly!$D:$AM, 10, FALSE), 1)</f>
        <v>1.3096049761646722E-2</v>
      </c>
      <c r="M15" s="7">
        <f>$B15 * IFERROR(VLOOKUP("LULUCF|NOx|Work loss days", US_national_yearly!$D:$AM, 21, FALSE) / VLOOKUP("LULUCF|NOx|Work loss days", US_national_yearly!$D:$AM, 10, FALSE), 1)</f>
        <v>1.3162527297801034E-2</v>
      </c>
      <c r="N15" s="7">
        <f>$B15 * IFERROR(VLOOKUP("LULUCF|NOx|Work loss days", US_national_yearly!$D:$AM, 22, FALSE) / VLOOKUP("LULUCF|NOx|Work loss days", US_national_yearly!$D:$AM, 10, FALSE), 1)</f>
        <v>1.3249043731862547E-2</v>
      </c>
      <c r="O15" s="7">
        <f>$B15 * IFERROR(VLOOKUP("LULUCF|NOx|Work loss days", US_national_yearly!$D:$AM, 23, FALSE) / VLOOKUP("LULUCF|NOx|Work loss days", US_national_yearly!$D:$AM, 10, FALSE), 1)</f>
        <v>1.3335560165924061E-2</v>
      </c>
      <c r="P15" s="7">
        <f>$B15 * IFERROR(VLOOKUP("LULUCF|NOx|Work loss days", US_national_yearly!$D:$AM, 24, FALSE) / VLOOKUP("LULUCF|NOx|Work loss days", US_national_yearly!$D:$AM, 10, FALSE), 1)</f>
        <v>1.3422076599985575E-2</v>
      </c>
      <c r="Q15" s="7">
        <f>$B15 * IFERROR(VLOOKUP("LULUCF|NOx|Work loss days", US_national_yearly!$D:$AM, 25, FALSE) / VLOOKUP("LULUCF|NOx|Work loss days", US_national_yearly!$D:$AM, 10, FALSE), 1)</f>
        <v>1.3508593034047086E-2</v>
      </c>
      <c r="R15" s="7">
        <f>$B15 * IFERROR(VLOOKUP("LULUCF|NOx|Work loss days", US_national_yearly!$D:$AM, 26, FALSE) / VLOOKUP("LULUCF|NOx|Work loss days", US_national_yearly!$D:$AM, 10, FALSE), 1)</f>
        <v>1.3595109468108602E-2</v>
      </c>
      <c r="S15" s="7">
        <f>$B15 * IFERROR(VLOOKUP("LULUCF|NOx|Work loss days", US_national_yearly!$D:$AM, 27, FALSE) / VLOOKUP("LULUCF|NOx|Work loss days", US_national_yearly!$D:$AM, 10, FALSE), 1)</f>
        <v>1.3691564229922492E-2</v>
      </c>
      <c r="T15" s="7">
        <f>$B15 * IFERROR(VLOOKUP("LULUCF|NOx|Work loss days", US_national_yearly!$D:$AM, 28, FALSE) / VLOOKUP("LULUCF|NOx|Work loss days", US_national_yearly!$D:$AM, 10, FALSE), 1)</f>
        <v>1.3788018991736381E-2</v>
      </c>
      <c r="U15" s="7">
        <f>$B15 * IFERROR(VLOOKUP("LULUCF|NOx|Work loss days", US_national_yearly!$D:$AM, 29, FALSE) / VLOOKUP("LULUCF|NOx|Work loss days", US_national_yearly!$D:$AM, 10, FALSE), 1)</f>
        <v>1.3884473753550269E-2</v>
      </c>
      <c r="V15" s="7">
        <f>$B15 * IFERROR(VLOOKUP("LULUCF|NOx|Work loss days", US_national_yearly!$D:$AM, 30, FALSE) / VLOOKUP("LULUCF|NOx|Work loss days", US_national_yearly!$D:$AM, 10, FALSE), 1)</f>
        <v>1.3980928515364159E-2</v>
      </c>
      <c r="W15" s="7">
        <f>$B15 * IFERROR(VLOOKUP("LULUCF|NOx|Work loss days", US_national_yearly!$D:$AM, 31, FALSE) / VLOOKUP("LULUCF|NOx|Work loss days", US_national_yearly!$D:$AM, 10, FALSE), 1)</f>
        <v>1.407738327717805E-2</v>
      </c>
      <c r="X15" s="7">
        <f>$B15 * IFERROR(VLOOKUP("LULUCF|NOx|Work loss days", US_national_yearly!$D:$AM, 32, FALSE) / VLOOKUP("LULUCF|NOx|Work loss days", US_national_yearly!$D:$AM, 10, FALSE), 1)</f>
        <v>1.4161100867778994E-2</v>
      </c>
      <c r="Y15" s="7">
        <f>$B15 * IFERROR(VLOOKUP("LULUCF|NOx|Work loss days", US_national_yearly!$D:$AM, 33, FALSE) / VLOOKUP("LULUCF|NOx|Work loss days", US_national_yearly!$D:$AM, 10, FALSE), 1)</f>
        <v>1.4244818458379938E-2</v>
      </c>
      <c r="Z15" s="7">
        <f>$B15 * IFERROR(VLOOKUP("LULUCF|NOx|Work loss days", US_national_yearly!$D:$AM, 34, FALSE) / VLOOKUP("LULUCF|NOx|Work loss days", US_national_yearly!$D:$AM, 10, FALSE), 1)</f>
        <v>1.4328536048980879E-2</v>
      </c>
      <c r="AA15" s="7">
        <f>$B15 * IFERROR(VLOOKUP("LULUCF|NOx|Work loss days", US_national_yearly!$D:$AM, 35, FALSE) / VLOOKUP("LULUCF|NOx|Work loss days", US_national_yearly!$D:$AM, 10, FALSE), 1)</f>
        <v>1.4412253639581823E-2</v>
      </c>
      <c r="AB15" s="7">
        <f>$B15 * IFERROR(VLOOKUP("LULUCF|NOx|Work loss days", US_national_yearly!$D:$AM, 36, FALSE) / VLOOKUP("LULUCF|NOx|Work loss days", US_national_yearly!$D:$AM, 10, FALSE), 1)</f>
        <v>1.4495971230182767E-2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2.6345301082012904E-5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2.7119448051768409E-5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2.789359502152391E-5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2.8667741991279411E-5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2.9441888961034916E-5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3.0177200558058336E-5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3.0912512155081757E-5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3.1530852482090545E-5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3.2149192809099334E-5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3.2767533136108116E-5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3.3385873463116905E-5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3.4004213790125694E-5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3.4390882485178589E-5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3.4777551180231491E-5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3.5164219875284386E-5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3.5550888570337281E-5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3.5937557265390176E-5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3.6113983572834579E-5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3.6290409880278976E-5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3.6466836187723372E-5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3.6643262495167775E-5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3.6819688802612171E-5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3.6917876159337105E-5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3.7016063516062045E-5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3.7114250872786979E-5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3.7212438229511912E-5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3.7310625586236846E-5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2.2665324198737968E-4</v>
      </c>
      <c r="C2" s="7">
        <f>$B2 * IFERROR(VLOOKUP("LULUCF|SO2|Premature mortality", US_national_yearly!$D:$AM, 11, FALSE) / VLOOKUP("LULUCF|SO2|Premature mortality", US_national_yearly!$D:$AM, 10, FALSE), 1)</f>
        <v>2.2952368266314246E-4</v>
      </c>
      <c r="D2" s="7">
        <f>$B2 * IFERROR(VLOOKUP("LULUCF|SO2|Premature mortality", US_national_yearly!$D:$AM, 12, FALSE) / VLOOKUP("LULUCF|SO2|Premature mortality", US_national_yearly!$D:$AM, 10, FALSE), 1)</f>
        <v>2.3239412333890528E-4</v>
      </c>
      <c r="E2" s="7">
        <f>$B2 * IFERROR(VLOOKUP("LULUCF|SO2|Premature mortality", US_national_yearly!$D:$AM, 13, FALSE) / VLOOKUP("LULUCF|SO2|Premature mortality", US_national_yearly!$D:$AM, 10, FALSE), 1)</f>
        <v>2.3526456401466806E-4</v>
      </c>
      <c r="F2" s="7">
        <f>$B2 * IFERROR(VLOOKUP("LULUCF|SO2|Premature mortality", US_national_yearly!$D:$AM, 14, FALSE) / VLOOKUP("LULUCF|SO2|Premature mortality", US_national_yearly!$D:$AM, 10, FALSE), 1)</f>
        <v>2.3813500469043085E-4</v>
      </c>
      <c r="G2" s="7">
        <f>$B2 * IFERROR(VLOOKUP("LULUCF|SO2|Premature mortality", US_national_yearly!$D:$AM, 15, FALSE) / VLOOKUP("LULUCF|SO2|Premature mortality", US_national_yearly!$D:$AM, 10, FALSE), 1)</f>
        <v>2.4366618119369643E-4</v>
      </c>
      <c r="H2" s="7">
        <f>$B2 * IFERROR(VLOOKUP("LULUCF|SO2|Premature mortality", US_national_yearly!$D:$AM, 16, FALSE) / VLOOKUP("LULUCF|SO2|Premature mortality", US_national_yearly!$D:$AM, 10, FALSE), 1)</f>
        <v>2.4919735769696194E-4</v>
      </c>
      <c r="I2" s="7">
        <f>$B2 * IFERROR(VLOOKUP("LULUCF|SO2|Premature mortality", US_national_yearly!$D:$AM, 17, FALSE) / VLOOKUP("LULUCF|SO2|Premature mortality", US_national_yearly!$D:$AM, 10, FALSE), 1)</f>
        <v>2.5285269804773634E-4</v>
      </c>
      <c r="J2" s="7">
        <f>$B2 * IFERROR(VLOOKUP("LULUCF|SO2|Premature mortality", US_national_yearly!$D:$AM, 18, FALSE) / VLOOKUP("LULUCF|SO2|Premature mortality", US_national_yearly!$D:$AM, 10, FALSE), 1)</f>
        <v>2.5650803839851073E-4</v>
      </c>
      <c r="K2" s="7">
        <f>$B2 * IFERROR(VLOOKUP("LULUCF|SO2|Premature mortality", US_national_yearly!$D:$AM, 19, FALSE) / VLOOKUP("LULUCF|SO2|Premature mortality", US_national_yearly!$D:$AM, 10, FALSE), 1)</f>
        <v>2.6016337874928513E-4</v>
      </c>
      <c r="L2" s="7">
        <f>$B2 * IFERROR(VLOOKUP("LULUCF|SO2|Premature mortality", US_national_yearly!$D:$AM, 20, FALSE) / VLOOKUP("LULUCF|SO2|Premature mortality", US_national_yearly!$D:$AM, 10, FALSE), 1)</f>
        <v>2.6381871910005953E-4</v>
      </c>
      <c r="M2" s="7">
        <f>$B2 * IFERROR(VLOOKUP("LULUCF|SO2|Premature mortality", US_national_yearly!$D:$AM, 21, FALSE) / VLOOKUP("LULUCF|SO2|Premature mortality", US_national_yearly!$D:$AM, 10, FALSE), 1)</f>
        <v>2.6747405945083393E-4</v>
      </c>
      <c r="N2" s="7">
        <f>$B2 * IFERROR(VLOOKUP("LULUCF|SO2|Premature mortality", US_national_yearly!$D:$AM, 22, FALSE) / VLOOKUP("LULUCF|SO2|Premature mortality", US_national_yearly!$D:$AM, 10, FALSE), 1)</f>
        <v>2.7033014412530132E-4</v>
      </c>
      <c r="O2" s="7">
        <f>$B2 * IFERROR(VLOOKUP("LULUCF|SO2|Premature mortality", US_national_yearly!$D:$AM, 23, FALSE) / VLOOKUP("LULUCF|SO2|Premature mortality", US_national_yearly!$D:$AM, 10, FALSE), 1)</f>
        <v>2.7318622879976865E-4</v>
      </c>
      <c r="P2" s="7">
        <f>$B2 * IFERROR(VLOOKUP("LULUCF|SO2|Premature mortality", US_national_yearly!$D:$AM, 24, FALSE) / VLOOKUP("LULUCF|SO2|Premature mortality", US_national_yearly!$D:$AM, 10, FALSE), 1)</f>
        <v>2.7604231347423604E-4</v>
      </c>
      <c r="Q2" s="7">
        <f>$B2 * IFERROR(VLOOKUP("LULUCF|SO2|Premature mortality", US_national_yearly!$D:$AM, 25, FALSE) / VLOOKUP("LULUCF|SO2|Premature mortality", US_national_yearly!$D:$AM, 10, FALSE), 1)</f>
        <v>2.7889839814870343E-4</v>
      </c>
      <c r="R2" s="7">
        <f>$B2 * IFERROR(VLOOKUP("LULUCF|SO2|Premature mortality", US_national_yearly!$D:$AM, 26, FALSE) / VLOOKUP("LULUCF|SO2|Premature mortality", US_national_yearly!$D:$AM, 10, FALSE), 1)</f>
        <v>2.8175448282317077E-4</v>
      </c>
      <c r="S2" s="7">
        <f>$B2 * IFERROR(VLOOKUP("LULUCF|SO2|Premature mortality", US_national_yearly!$D:$AM, 27, FALSE) / VLOOKUP("LULUCF|SO2|Premature mortality", US_national_yearly!$D:$AM, 10, FALSE), 1)</f>
        <v>2.832839541956846E-4</v>
      </c>
      <c r="T2" s="7">
        <f>$B2 * IFERROR(VLOOKUP("LULUCF|SO2|Premature mortality", US_national_yearly!$D:$AM, 28, FALSE) / VLOOKUP("LULUCF|SO2|Premature mortality", US_national_yearly!$D:$AM, 10, FALSE), 1)</f>
        <v>2.8481342556819833E-4</v>
      </c>
      <c r="U2" s="7">
        <f>$B2 * IFERROR(VLOOKUP("LULUCF|SO2|Premature mortality", US_national_yearly!$D:$AM, 29, FALSE) / VLOOKUP("LULUCF|SO2|Premature mortality", US_national_yearly!$D:$AM, 10, FALSE), 1)</f>
        <v>2.8634289694071211E-4</v>
      </c>
      <c r="V2" s="7">
        <f>$B2 * IFERROR(VLOOKUP("LULUCF|SO2|Premature mortality", US_national_yearly!$D:$AM, 30, FALSE) / VLOOKUP("LULUCF|SO2|Premature mortality", US_national_yearly!$D:$AM, 10, FALSE), 1)</f>
        <v>2.8787236831322584E-4</v>
      </c>
      <c r="W2" s="7">
        <f>$B2 * IFERROR(VLOOKUP("LULUCF|SO2|Premature mortality", US_national_yearly!$D:$AM, 31, FALSE) / VLOOKUP("LULUCF|SO2|Premature mortality", US_national_yearly!$D:$AM, 10, FALSE), 1)</f>
        <v>2.8940183968573962E-4</v>
      </c>
      <c r="X2" s="7">
        <f>$B2 * IFERROR(VLOOKUP("LULUCF|SO2|Premature mortality", US_national_yearly!$D:$AM, 32, FALSE) / VLOOKUP("LULUCF|SO2|Premature mortality", US_national_yearly!$D:$AM, 10, FALSE), 1)</f>
        <v>2.8971255647336692E-4</v>
      </c>
      <c r="Y2" s="7">
        <f>$B2 * IFERROR(VLOOKUP("LULUCF|SO2|Premature mortality", US_national_yearly!$D:$AM, 33, FALSE) / VLOOKUP("LULUCF|SO2|Premature mortality", US_national_yearly!$D:$AM, 10, FALSE), 1)</f>
        <v>2.9002327326099422E-4</v>
      </c>
      <c r="Z2" s="7">
        <f>$B2 * IFERROR(VLOOKUP("LULUCF|SO2|Premature mortality", US_national_yearly!$D:$AM, 34, FALSE) / VLOOKUP("LULUCF|SO2|Premature mortality", US_national_yearly!$D:$AM, 10, FALSE), 1)</f>
        <v>2.9033399004862152E-4</v>
      </c>
      <c r="AA2" s="7">
        <f>$B2 * IFERROR(VLOOKUP("LULUCF|SO2|Premature mortality", US_national_yearly!$D:$AM, 35, FALSE) / VLOOKUP("LULUCF|SO2|Premature mortality", US_national_yearly!$D:$AM, 10, FALSE), 1)</f>
        <v>2.9064470683624882E-4</v>
      </c>
      <c r="AB2" s="7">
        <f>$B2 * IFERROR(VLOOKUP("LULUCF|SO2|Premature mortality", US_national_yearly!$D:$AM, 36, FALSE) / VLOOKUP("LULUCF|SO2|Premature mortality", US_national_yearly!$D:$AM, 10, FALSE), 1)</f>
        <v>2.9095542362387613E-4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6.6895582578659082E-7</v>
      </c>
      <c r="C3" s="7">
        <f>$B3 * IFERROR(VLOOKUP("LULUCF|SO2|Infant mortality", US_national_yearly!$D:$AM, 11, FALSE) / VLOOKUP("LULUCF|SO2|Infant mortality", US_national_yearly!$D:$AM, 10, FALSE), 1)</f>
        <v>6.6320937322181461E-7</v>
      </c>
      <c r="D3" s="7">
        <f>$B3 * IFERROR(VLOOKUP("LULUCF|SO2|Infant mortality", US_national_yearly!$D:$AM, 12, FALSE) / VLOOKUP("LULUCF|SO2|Infant mortality", US_national_yearly!$D:$AM, 10, FALSE), 1)</f>
        <v>6.574629206570386E-7</v>
      </c>
      <c r="E3" s="7">
        <f>$B3 * IFERROR(VLOOKUP("LULUCF|SO2|Infant mortality", US_national_yearly!$D:$AM, 13, FALSE) / VLOOKUP("LULUCF|SO2|Infant mortality", US_national_yearly!$D:$AM, 10, FALSE), 1)</f>
        <v>6.5171646809226228E-7</v>
      </c>
      <c r="F3" s="7">
        <f>$B3 * IFERROR(VLOOKUP("LULUCF|SO2|Infant mortality", US_national_yearly!$D:$AM, 14, FALSE) / VLOOKUP("LULUCF|SO2|Infant mortality", US_national_yearly!$D:$AM, 10, FALSE), 1)</f>
        <v>6.4597001552748618E-7</v>
      </c>
      <c r="G3" s="7">
        <f>$B3 * IFERROR(VLOOKUP("LULUCF|SO2|Infant mortality", US_national_yearly!$D:$AM, 15, FALSE) / VLOOKUP("LULUCF|SO2|Infant mortality", US_national_yearly!$D:$AM, 10, FALSE), 1)</f>
        <v>4.3026805778743533E-7</v>
      </c>
      <c r="H3" s="7">
        <f>$B3 * IFERROR(VLOOKUP("LULUCF|SO2|Infant mortality", US_national_yearly!$D:$AM, 16, FALSE) / VLOOKUP("LULUCF|SO2|Infant mortality", US_national_yearly!$D:$AM, 10, FALSE), 1)</f>
        <v>2.1456610004738483E-7</v>
      </c>
      <c r="I3" s="7">
        <f>$B3 * IFERROR(VLOOKUP("LULUCF|SO2|Infant mortality", US_national_yearly!$D:$AM, 17, FALSE) / VLOOKUP("LULUCF|SO2|Infant mortality", US_national_yearly!$D:$AM, 10, FALSE), 1)</f>
        <v>2.1322006210838836E-7</v>
      </c>
      <c r="J3" s="7">
        <f>$B3 * IFERROR(VLOOKUP("LULUCF|SO2|Infant mortality", US_national_yearly!$D:$AM, 18, FALSE) / VLOOKUP("LULUCF|SO2|Infant mortality", US_national_yearly!$D:$AM, 10, FALSE), 1)</f>
        <v>2.1187402416939191E-7</v>
      </c>
      <c r="K3" s="7">
        <f>$B3 * IFERROR(VLOOKUP("LULUCF|SO2|Infant mortality", US_national_yearly!$D:$AM, 19, FALSE) / VLOOKUP("LULUCF|SO2|Infant mortality", US_national_yearly!$D:$AM, 10, FALSE), 1)</f>
        <v>2.1052798623039544E-7</v>
      </c>
      <c r="L3" s="7">
        <f>$B3 * IFERROR(VLOOKUP("LULUCF|SO2|Infant mortality", US_national_yearly!$D:$AM, 20, FALSE) / VLOOKUP("LULUCF|SO2|Infant mortality", US_national_yearly!$D:$AM, 10, FALSE), 1)</f>
        <v>2.09181948291399E-7</v>
      </c>
      <c r="M3" s="7">
        <f>$B3 * IFERROR(VLOOKUP("LULUCF|SO2|Infant mortality", US_national_yearly!$D:$AM, 21, FALSE) / VLOOKUP("LULUCF|SO2|Infant mortality", US_national_yearly!$D:$AM, 10, FALSE), 1)</f>
        <v>2.0783591035240255E-7</v>
      </c>
      <c r="N3" s="7">
        <f>$B3 * IFERROR(VLOOKUP("LULUCF|SO2|Infant mortality", US_national_yearly!$D:$AM, 22, FALSE) / VLOOKUP("LULUCF|SO2|Infant mortality", US_national_yearly!$D:$AM, 10, FALSE), 1)</f>
        <v>2.0699101241542585E-7</v>
      </c>
      <c r="O3" s="7">
        <f>$B3 * IFERROR(VLOOKUP("LULUCF|SO2|Infant mortality", US_national_yearly!$D:$AM, 23, FALSE) / VLOOKUP("LULUCF|SO2|Infant mortality", US_national_yearly!$D:$AM, 10, FALSE), 1)</f>
        <v>2.0614611447844917E-7</v>
      </c>
      <c r="P3" s="7">
        <f>$B3 * IFERROR(VLOOKUP("LULUCF|SO2|Infant mortality", US_national_yearly!$D:$AM, 24, FALSE) / VLOOKUP("LULUCF|SO2|Infant mortality", US_national_yearly!$D:$AM, 10, FALSE), 1)</f>
        <v>2.0530121654147246E-7</v>
      </c>
      <c r="Q3" s="7">
        <f>$B3 * IFERROR(VLOOKUP("LULUCF|SO2|Infant mortality", US_national_yearly!$D:$AM, 25, FALSE) / VLOOKUP("LULUCF|SO2|Infant mortality", US_national_yearly!$D:$AM, 10, FALSE), 1)</f>
        <v>2.0445631860449576E-7</v>
      </c>
      <c r="R3" s="7">
        <f>$B3 * IFERROR(VLOOKUP("LULUCF|SO2|Infant mortality", US_national_yearly!$D:$AM, 26, FALSE) / VLOOKUP("LULUCF|SO2|Infant mortality", US_national_yearly!$D:$AM, 10, FALSE), 1)</f>
        <v>2.0361142066751906E-7</v>
      </c>
      <c r="S3" s="7">
        <f>$B3 * IFERROR(VLOOKUP("LULUCF|SO2|Infant mortality", US_national_yearly!$D:$AM, 27, FALSE) / VLOOKUP("LULUCF|SO2|Infant mortality", US_national_yearly!$D:$AM, 10, FALSE), 1)</f>
        <v>2.0255059983536067E-7</v>
      </c>
      <c r="T3" s="7">
        <f>$B3 * IFERROR(VLOOKUP("LULUCF|SO2|Infant mortality", US_national_yearly!$D:$AM, 28, FALSE) / VLOOKUP("LULUCF|SO2|Infant mortality", US_national_yearly!$D:$AM, 10, FALSE), 1)</f>
        <v>2.0148977900320232E-7</v>
      </c>
      <c r="U3" s="7">
        <f>$B3 * IFERROR(VLOOKUP("LULUCF|SO2|Infant mortality", US_national_yearly!$D:$AM, 29, FALSE) / VLOOKUP("LULUCF|SO2|Infant mortality", US_national_yearly!$D:$AM, 10, FALSE), 1)</f>
        <v>2.0042895817104389E-7</v>
      </c>
      <c r="V3" s="7">
        <f>$B3 * IFERROR(VLOOKUP("LULUCF|SO2|Infant mortality", US_national_yearly!$D:$AM, 30, FALSE) / VLOOKUP("LULUCF|SO2|Infant mortality", US_national_yearly!$D:$AM, 10, FALSE), 1)</f>
        <v>1.9936813733888556E-7</v>
      </c>
      <c r="W3" s="7">
        <f>$B3 * IFERROR(VLOOKUP("LULUCF|SO2|Infant mortality", US_national_yearly!$D:$AM, 31, FALSE) / VLOOKUP("LULUCF|SO2|Infant mortality", US_national_yearly!$D:$AM, 10, FALSE), 1)</f>
        <v>1.9830731650672718E-7</v>
      </c>
      <c r="X3" s="7">
        <f>$B3 * IFERROR(VLOOKUP("LULUCF|SO2|Infant mortality", US_national_yearly!$D:$AM, 32, FALSE) / VLOOKUP("LULUCF|SO2|Infant mortality", US_national_yearly!$D:$AM, 10, FALSE), 1)</f>
        <v>1.9714751189141402E-7</v>
      </c>
      <c r="Y3" s="7">
        <f>$B3 * IFERROR(VLOOKUP("LULUCF|SO2|Infant mortality", US_national_yearly!$D:$AM, 33, FALSE) / VLOOKUP("LULUCF|SO2|Infant mortality", US_national_yearly!$D:$AM, 10, FALSE), 1)</f>
        <v>1.9598770727610078E-7</v>
      </c>
      <c r="Z3" s="7">
        <f>$B3 * IFERROR(VLOOKUP("LULUCF|SO2|Infant mortality", US_national_yearly!$D:$AM, 34, FALSE) / VLOOKUP("LULUCF|SO2|Infant mortality", US_national_yearly!$D:$AM, 10, FALSE), 1)</f>
        <v>1.9482790266078763E-7</v>
      </c>
      <c r="AA3" s="7">
        <f>$B3 * IFERROR(VLOOKUP("LULUCF|SO2|Infant mortality", US_national_yearly!$D:$AM, 35, FALSE) / VLOOKUP("LULUCF|SO2|Infant mortality", US_national_yearly!$D:$AM, 10, FALSE), 1)</f>
        <v>1.9366809804547439E-7</v>
      </c>
      <c r="AB3" s="7">
        <f>$B3 * IFERROR(VLOOKUP("LULUCF|SO2|Infant mortality", US_national_yearly!$D:$AM, 36, FALSE) / VLOOKUP("LULUCF|SO2|Infant mortality", US_national_yearly!$D:$AM, 10, FALSE), 1)</f>
        <v>1.9250829343016123E-7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5.6840052596193573E-4</v>
      </c>
      <c r="C6" s="7">
        <f>$B6 * IFERROR(VLOOKUP("LULUCF|SO2|Asthma symptoms cough", US_national_yearly!$D:$AM, 11, FALSE) / VLOOKUP("LULUCF|SO2|Asthma symptoms cough", US_national_yearly!$D:$AM, 10, FALSE), 1)</f>
        <v>5.6840052596193573E-4</v>
      </c>
      <c r="D6" s="7">
        <f>$B6 * IFERROR(VLOOKUP("LULUCF|SO2|Asthma symptoms cough", US_national_yearly!$D:$AM, 12, FALSE) / VLOOKUP("LULUCF|SO2|Asthma symptoms cough", US_national_yearly!$D:$AM, 10, FALSE), 1)</f>
        <v>5.6840052596193573E-4</v>
      </c>
      <c r="E6" s="7">
        <f>$B6 * IFERROR(VLOOKUP("LULUCF|SO2|Asthma symptoms cough", US_national_yearly!$D:$AM, 13, FALSE) / VLOOKUP("LULUCF|SO2|Asthma symptoms cough", US_national_yearly!$D:$AM, 10, FALSE), 1)</f>
        <v>5.6840052596193573E-4</v>
      </c>
      <c r="F6" s="7">
        <f>$B6 * IFERROR(VLOOKUP("LULUCF|SO2|Asthma symptoms cough", US_national_yearly!$D:$AM, 14, FALSE) / VLOOKUP("LULUCF|SO2|Asthma symptoms cough", US_national_yearly!$D:$AM, 10, FALSE), 1)</f>
        <v>5.6840052596193573E-4</v>
      </c>
      <c r="G6" s="7">
        <f>$B6 * IFERROR(VLOOKUP("LULUCF|SO2|Asthma symptoms cough", US_national_yearly!$D:$AM, 15, FALSE) / VLOOKUP("LULUCF|SO2|Asthma symptoms cough", US_national_yearly!$D:$AM, 10, FALSE), 1)</f>
        <v>5.6840052596193573E-4</v>
      </c>
      <c r="H6" s="7">
        <f>$B6 * IFERROR(VLOOKUP("LULUCF|SO2|Asthma symptoms cough", US_national_yearly!$D:$AM, 16, FALSE) / VLOOKUP("LULUCF|SO2|Asthma symptoms cough", US_national_yearly!$D:$AM, 10, FALSE), 1)</f>
        <v>5.6840052596193573E-4</v>
      </c>
      <c r="I6" s="7">
        <f>$B6 * IFERROR(VLOOKUP("LULUCF|SO2|Asthma symptoms cough", US_national_yearly!$D:$AM, 17, FALSE) / VLOOKUP("LULUCF|SO2|Asthma symptoms cough", US_national_yearly!$D:$AM, 10, FALSE), 1)</f>
        <v>5.6840052596193573E-4</v>
      </c>
      <c r="J6" s="7">
        <f>$B6 * IFERROR(VLOOKUP("LULUCF|SO2|Asthma symptoms cough", US_national_yearly!$D:$AM, 18, FALSE) / VLOOKUP("LULUCF|SO2|Asthma symptoms cough", US_national_yearly!$D:$AM, 10, FALSE), 1)</f>
        <v>5.6840052596193573E-4</v>
      </c>
      <c r="K6" s="7">
        <f>$B6 * IFERROR(VLOOKUP("LULUCF|SO2|Asthma symptoms cough", US_national_yearly!$D:$AM, 19, FALSE) / VLOOKUP("LULUCF|SO2|Asthma symptoms cough", US_national_yearly!$D:$AM, 10, FALSE), 1)</f>
        <v>5.6840052596193573E-4</v>
      </c>
      <c r="L6" s="7">
        <f>$B6 * IFERROR(VLOOKUP("LULUCF|SO2|Asthma symptoms cough", US_national_yearly!$D:$AM, 20, FALSE) / VLOOKUP("LULUCF|SO2|Asthma symptoms cough", US_national_yearly!$D:$AM, 10, FALSE), 1)</f>
        <v>5.6840052596193573E-4</v>
      </c>
      <c r="M6" s="7">
        <f>$B6 * IFERROR(VLOOKUP("LULUCF|SO2|Asthma symptoms cough", US_national_yearly!$D:$AM, 21, FALSE) / VLOOKUP("LULUCF|SO2|Asthma symptoms cough", US_national_yearly!$D:$AM, 10, FALSE), 1)</f>
        <v>5.6840052596193573E-4</v>
      </c>
      <c r="N6" s="7">
        <f>$B6 * IFERROR(VLOOKUP("LULUCF|SO2|Asthma symptoms cough", US_national_yearly!$D:$AM, 22, FALSE) / VLOOKUP("LULUCF|SO2|Asthma symptoms cough", US_national_yearly!$D:$AM, 10, FALSE), 1)</f>
        <v>5.6840052596193573E-4</v>
      </c>
      <c r="O6" s="7">
        <f>$B6 * IFERROR(VLOOKUP("LULUCF|SO2|Asthma symptoms cough", US_national_yearly!$D:$AM, 23, FALSE) / VLOOKUP("LULUCF|SO2|Asthma symptoms cough", US_national_yearly!$D:$AM, 10, FALSE), 1)</f>
        <v>5.6840052596193573E-4</v>
      </c>
      <c r="P6" s="7">
        <f>$B6 * IFERROR(VLOOKUP("LULUCF|SO2|Asthma symptoms cough", US_national_yearly!$D:$AM, 24, FALSE) / VLOOKUP("LULUCF|SO2|Asthma symptoms cough", US_national_yearly!$D:$AM, 10, FALSE), 1)</f>
        <v>5.6840052596193573E-4</v>
      </c>
      <c r="Q6" s="7">
        <f>$B6 * IFERROR(VLOOKUP("LULUCF|SO2|Asthma symptoms cough", US_national_yearly!$D:$AM, 25, FALSE) / VLOOKUP("LULUCF|SO2|Asthma symptoms cough", US_national_yearly!$D:$AM, 10, FALSE), 1)</f>
        <v>5.6840052596193573E-4</v>
      </c>
      <c r="R6" s="7">
        <f>$B6 * IFERROR(VLOOKUP("LULUCF|SO2|Asthma symptoms cough", US_national_yearly!$D:$AM, 26, FALSE) / VLOOKUP("LULUCF|SO2|Asthma symptoms cough", US_national_yearly!$D:$AM, 10, FALSE), 1)</f>
        <v>5.6840052596193573E-4</v>
      </c>
      <c r="S6" s="7">
        <f>$B6 * IFERROR(VLOOKUP("LULUCF|SO2|Asthma symptoms cough", US_national_yearly!$D:$AM, 27, FALSE) / VLOOKUP("LULUCF|SO2|Asthma symptoms cough", US_national_yearly!$D:$AM, 10, FALSE), 1)</f>
        <v>5.6840052596193573E-4</v>
      </c>
      <c r="T6" s="7">
        <f>$B6 * IFERROR(VLOOKUP("LULUCF|SO2|Asthma symptoms cough", US_national_yearly!$D:$AM, 28, FALSE) / VLOOKUP("LULUCF|SO2|Asthma symptoms cough", US_national_yearly!$D:$AM, 10, FALSE), 1)</f>
        <v>5.6840052596193573E-4</v>
      </c>
      <c r="U6" s="7">
        <f>$B6 * IFERROR(VLOOKUP("LULUCF|SO2|Asthma symptoms cough", US_national_yearly!$D:$AM, 29, FALSE) / VLOOKUP("LULUCF|SO2|Asthma symptoms cough", US_national_yearly!$D:$AM, 10, FALSE), 1)</f>
        <v>5.6840052596193573E-4</v>
      </c>
      <c r="V6" s="7">
        <f>$B6 * IFERROR(VLOOKUP("LULUCF|SO2|Asthma symptoms cough", US_national_yearly!$D:$AM, 30, FALSE) / VLOOKUP("LULUCF|SO2|Asthma symptoms cough", US_national_yearly!$D:$AM, 10, FALSE), 1)</f>
        <v>5.6840052596193573E-4</v>
      </c>
      <c r="W6" s="7">
        <f>$B6 * IFERROR(VLOOKUP("LULUCF|SO2|Asthma symptoms cough", US_national_yearly!$D:$AM, 31, FALSE) / VLOOKUP("LULUCF|SO2|Asthma symptoms cough", US_national_yearly!$D:$AM, 10, FALSE), 1)</f>
        <v>5.6840052596193573E-4</v>
      </c>
      <c r="X6" s="7">
        <f>$B6 * IFERROR(VLOOKUP("LULUCF|SO2|Asthma symptoms cough", US_national_yearly!$D:$AM, 32, FALSE) / VLOOKUP("LULUCF|SO2|Asthma symptoms cough", US_national_yearly!$D:$AM, 10, FALSE), 1)</f>
        <v>5.6840052596193573E-4</v>
      </c>
      <c r="Y6" s="7">
        <f>$B6 * IFERROR(VLOOKUP("LULUCF|SO2|Asthma symptoms cough", US_national_yearly!$D:$AM, 33, FALSE) / VLOOKUP("LULUCF|SO2|Asthma symptoms cough", US_national_yearly!$D:$AM, 10, FALSE), 1)</f>
        <v>5.6840052596193573E-4</v>
      </c>
      <c r="Z6" s="7">
        <f>$B6 * IFERROR(VLOOKUP("LULUCF|SO2|Asthma symptoms cough", US_national_yearly!$D:$AM, 34, FALSE) / VLOOKUP("LULUCF|SO2|Asthma symptoms cough", US_national_yearly!$D:$AM, 10, FALSE), 1)</f>
        <v>5.6840052596193573E-4</v>
      </c>
      <c r="AA6" s="7">
        <f>$B6 * IFERROR(VLOOKUP("LULUCF|SO2|Asthma symptoms cough", US_national_yearly!$D:$AM, 35, FALSE) / VLOOKUP("LULUCF|SO2|Asthma symptoms cough", US_national_yearly!$D:$AM, 10, FALSE), 1)</f>
        <v>5.6840052596193573E-4</v>
      </c>
      <c r="AB6" s="7">
        <f>$B6 * IFERROR(VLOOKUP("LULUCF|SO2|Asthma symptoms cough", US_national_yearly!$D:$AM, 36, FALSE) / VLOOKUP("LULUCF|SO2|Asthma symptoms cough", US_national_yearly!$D:$AM, 10, FALSE), 1)</f>
        <v>5.6840052596193573E-4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7.6543284318439538E-4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7.6543284318439538E-4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7.6543284318439538E-4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7.6543284318439538E-4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7.6543284318439538E-4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7.6543284318439538E-4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7.6543284318439538E-4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7.6543284318439538E-4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7.6543284318439538E-4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7.6543284318439538E-4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7.6543284318439538E-4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7.6543284318439538E-4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7.6543284318439538E-4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7.6543284318439538E-4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7.6543284318439538E-4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7.6543284318439538E-4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7.6543284318439538E-4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7.6543284318439538E-4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7.6543284318439538E-4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7.6543284318439538E-4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7.6543284318439538E-4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7.6543284318439538E-4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7.6543284318439538E-4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7.6543284318439538E-4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7.6543284318439538E-4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7.6543284318439538E-4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7.6543284318439538E-4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1.1694550227628903E-3</v>
      </c>
      <c r="C8" s="7">
        <f>$B8 * IFERROR(VLOOKUP("LULUCF|SO2|Asthma symptoms wheeze", US_national_yearly!$D:$AM, 11, FALSE) / VLOOKUP("LULUCF|SO2|Asthma symptoms wheeze", US_national_yearly!$D:$AM, 10, FALSE), 1)</f>
        <v>1.1694550227628903E-3</v>
      </c>
      <c r="D8" s="7">
        <f>$B8 * IFERROR(VLOOKUP("LULUCF|SO2|Asthma symptoms wheeze", US_national_yearly!$D:$AM, 12, FALSE) / VLOOKUP("LULUCF|SO2|Asthma symptoms wheeze", US_national_yearly!$D:$AM, 10, FALSE), 1)</f>
        <v>1.1694550227628903E-3</v>
      </c>
      <c r="E8" s="7">
        <f>$B8 * IFERROR(VLOOKUP("LULUCF|SO2|Asthma symptoms wheeze", US_national_yearly!$D:$AM, 13, FALSE) / VLOOKUP("LULUCF|SO2|Asthma symptoms wheeze", US_national_yearly!$D:$AM, 10, FALSE), 1)</f>
        <v>1.1694550227628903E-3</v>
      </c>
      <c r="F8" s="7">
        <f>$B8 * IFERROR(VLOOKUP("LULUCF|SO2|Asthma symptoms wheeze", US_national_yearly!$D:$AM, 14, FALSE) / VLOOKUP("LULUCF|SO2|Asthma symptoms wheeze", US_national_yearly!$D:$AM, 10, FALSE), 1)</f>
        <v>1.1694550227628903E-3</v>
      </c>
      <c r="G8" s="7">
        <f>$B8 * IFERROR(VLOOKUP("LULUCF|SO2|Asthma symptoms wheeze", US_national_yearly!$D:$AM, 15, FALSE) / VLOOKUP("LULUCF|SO2|Asthma symptoms wheeze", US_national_yearly!$D:$AM, 10, FALSE), 1)</f>
        <v>1.1694550227628903E-3</v>
      </c>
      <c r="H8" s="7">
        <f>$B8 * IFERROR(VLOOKUP("LULUCF|SO2|Asthma symptoms wheeze", US_national_yearly!$D:$AM, 16, FALSE) / VLOOKUP("LULUCF|SO2|Asthma symptoms wheeze", US_national_yearly!$D:$AM, 10, FALSE), 1)</f>
        <v>1.1694550227628903E-3</v>
      </c>
      <c r="I8" s="7">
        <f>$B8 * IFERROR(VLOOKUP("LULUCF|SO2|Asthma symptoms wheeze", US_national_yearly!$D:$AM, 17, FALSE) / VLOOKUP("LULUCF|SO2|Asthma symptoms wheeze", US_national_yearly!$D:$AM, 10, FALSE), 1)</f>
        <v>1.1694550227628903E-3</v>
      </c>
      <c r="J8" s="7">
        <f>$B8 * IFERROR(VLOOKUP("LULUCF|SO2|Asthma symptoms wheeze", US_national_yearly!$D:$AM, 18, FALSE) / VLOOKUP("LULUCF|SO2|Asthma symptoms wheeze", US_national_yearly!$D:$AM, 10, FALSE), 1)</f>
        <v>1.1694550227628903E-3</v>
      </c>
      <c r="K8" s="7">
        <f>$B8 * IFERROR(VLOOKUP("LULUCF|SO2|Asthma symptoms wheeze", US_national_yearly!$D:$AM, 19, FALSE) / VLOOKUP("LULUCF|SO2|Asthma symptoms wheeze", US_national_yearly!$D:$AM, 10, FALSE), 1)</f>
        <v>1.1694550227628903E-3</v>
      </c>
      <c r="L8" s="7">
        <f>$B8 * IFERROR(VLOOKUP("LULUCF|SO2|Asthma symptoms wheeze", US_national_yearly!$D:$AM, 20, FALSE) / VLOOKUP("LULUCF|SO2|Asthma symptoms wheeze", US_national_yearly!$D:$AM, 10, FALSE), 1)</f>
        <v>1.1694550227628903E-3</v>
      </c>
      <c r="M8" s="7">
        <f>$B8 * IFERROR(VLOOKUP("LULUCF|SO2|Asthma symptoms wheeze", US_national_yearly!$D:$AM, 21, FALSE) / VLOOKUP("LULUCF|SO2|Asthma symptoms wheeze", US_national_yearly!$D:$AM, 10, FALSE), 1)</f>
        <v>1.1694550227628903E-3</v>
      </c>
      <c r="N8" s="7">
        <f>$B8 * IFERROR(VLOOKUP("LULUCF|SO2|Asthma symptoms wheeze", US_national_yearly!$D:$AM, 22, FALSE) / VLOOKUP("LULUCF|SO2|Asthma symptoms wheeze", US_national_yearly!$D:$AM, 10, FALSE), 1)</f>
        <v>1.1694550227628903E-3</v>
      </c>
      <c r="O8" s="7">
        <f>$B8 * IFERROR(VLOOKUP("LULUCF|SO2|Asthma symptoms wheeze", US_national_yearly!$D:$AM, 23, FALSE) / VLOOKUP("LULUCF|SO2|Asthma symptoms wheeze", US_national_yearly!$D:$AM, 10, FALSE), 1)</f>
        <v>1.1694550227628903E-3</v>
      </c>
      <c r="P8" s="7">
        <f>$B8 * IFERROR(VLOOKUP("LULUCF|SO2|Asthma symptoms wheeze", US_national_yearly!$D:$AM, 24, FALSE) / VLOOKUP("LULUCF|SO2|Asthma symptoms wheeze", US_national_yearly!$D:$AM, 10, FALSE), 1)</f>
        <v>1.1694550227628903E-3</v>
      </c>
      <c r="Q8" s="7">
        <f>$B8 * IFERROR(VLOOKUP("LULUCF|SO2|Asthma symptoms wheeze", US_national_yearly!$D:$AM, 25, FALSE) / VLOOKUP("LULUCF|SO2|Asthma symptoms wheeze", US_national_yearly!$D:$AM, 10, FALSE), 1)</f>
        <v>1.1694550227628903E-3</v>
      </c>
      <c r="R8" s="7">
        <f>$B8 * IFERROR(VLOOKUP("LULUCF|SO2|Asthma symptoms wheeze", US_national_yearly!$D:$AM, 26, FALSE) / VLOOKUP("LULUCF|SO2|Asthma symptoms wheeze", US_national_yearly!$D:$AM, 10, FALSE), 1)</f>
        <v>1.1694550227628903E-3</v>
      </c>
      <c r="S8" s="7">
        <f>$B8 * IFERROR(VLOOKUP("LULUCF|SO2|Asthma symptoms wheeze", US_national_yearly!$D:$AM, 27, FALSE) / VLOOKUP("LULUCF|SO2|Asthma symptoms wheeze", US_national_yearly!$D:$AM, 10, FALSE), 1)</f>
        <v>1.1694550227628903E-3</v>
      </c>
      <c r="T8" s="7">
        <f>$B8 * IFERROR(VLOOKUP("LULUCF|SO2|Asthma symptoms wheeze", US_national_yearly!$D:$AM, 28, FALSE) / VLOOKUP("LULUCF|SO2|Asthma symptoms wheeze", US_national_yearly!$D:$AM, 10, FALSE), 1)</f>
        <v>1.1694550227628903E-3</v>
      </c>
      <c r="U8" s="7">
        <f>$B8 * IFERROR(VLOOKUP("LULUCF|SO2|Asthma symptoms wheeze", US_national_yearly!$D:$AM, 29, FALSE) / VLOOKUP("LULUCF|SO2|Asthma symptoms wheeze", US_national_yearly!$D:$AM, 10, FALSE), 1)</f>
        <v>1.1694550227628903E-3</v>
      </c>
      <c r="V8" s="7">
        <f>$B8 * IFERROR(VLOOKUP("LULUCF|SO2|Asthma symptoms wheeze", US_national_yearly!$D:$AM, 30, FALSE) / VLOOKUP("LULUCF|SO2|Asthma symptoms wheeze", US_national_yearly!$D:$AM, 10, FALSE), 1)</f>
        <v>1.1694550227628903E-3</v>
      </c>
      <c r="W8" s="7">
        <f>$B8 * IFERROR(VLOOKUP("LULUCF|SO2|Asthma symptoms wheeze", US_national_yearly!$D:$AM, 31, FALSE) / VLOOKUP("LULUCF|SO2|Asthma symptoms wheeze", US_national_yearly!$D:$AM, 10, FALSE), 1)</f>
        <v>1.1694550227628903E-3</v>
      </c>
      <c r="X8" s="7">
        <f>$B8 * IFERROR(VLOOKUP("LULUCF|SO2|Asthma symptoms wheeze", US_national_yearly!$D:$AM, 32, FALSE) / VLOOKUP("LULUCF|SO2|Asthma symptoms wheeze", US_national_yearly!$D:$AM, 10, FALSE), 1)</f>
        <v>1.1694550227628903E-3</v>
      </c>
      <c r="Y8" s="7">
        <f>$B8 * IFERROR(VLOOKUP("LULUCF|SO2|Asthma symptoms wheeze", US_national_yearly!$D:$AM, 33, FALSE) / VLOOKUP("LULUCF|SO2|Asthma symptoms wheeze", US_national_yearly!$D:$AM, 10, FALSE), 1)</f>
        <v>1.1694550227628903E-3</v>
      </c>
      <c r="Z8" s="7">
        <f>$B8 * IFERROR(VLOOKUP("LULUCF|SO2|Asthma symptoms wheeze", US_national_yearly!$D:$AM, 34, FALSE) / VLOOKUP("LULUCF|SO2|Asthma symptoms wheeze", US_national_yearly!$D:$AM, 10, FALSE), 1)</f>
        <v>1.1694550227628903E-3</v>
      </c>
      <c r="AA8" s="7">
        <f>$B8 * IFERROR(VLOOKUP("LULUCF|SO2|Asthma symptoms wheeze", US_national_yearly!$D:$AM, 35, FALSE) / VLOOKUP("LULUCF|SO2|Asthma symptoms wheeze", US_national_yearly!$D:$AM, 10, FALSE), 1)</f>
        <v>1.1694550227628903E-3</v>
      </c>
      <c r="AB8" s="7">
        <f>$B8 * IFERROR(VLOOKUP("LULUCF|SO2|Asthma symptoms wheeze", US_national_yearly!$D:$AM, 36, FALSE) / VLOOKUP("LULUCF|SO2|Asthma symptoms wheeze", US_national_yearly!$D:$AM, 10, FALSE), 1)</f>
        <v>1.1694550227628903E-3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1.6220696504382941E-5</v>
      </c>
      <c r="C12" s="7">
        <f>$B12 * IFERROR(VLOOKUP("LULUCF|SO2|Respiratory hospital admissions", US_national_yearly!$D:$AM, 11, FALSE) / VLOOKUP("LULUCF|SO2|Respiratory hospital admissions", US_national_yearly!$D:$AM, 10, FALSE), 1)</f>
        <v>1.6316366978451673E-5</v>
      </c>
      <c r="D12" s="7">
        <f>$B12 * IFERROR(VLOOKUP("LULUCF|SO2|Respiratory hospital admissions", US_national_yearly!$D:$AM, 12, FALSE) / VLOOKUP("LULUCF|SO2|Respiratory hospital admissions", US_national_yearly!$D:$AM, 10, FALSE), 1)</f>
        <v>1.6412037452520406E-5</v>
      </c>
      <c r="E12" s="7">
        <f>$B12 * IFERROR(VLOOKUP("LULUCF|SO2|Respiratory hospital admissions", US_national_yearly!$D:$AM, 13, FALSE) / VLOOKUP("LULUCF|SO2|Respiratory hospital admissions", US_national_yearly!$D:$AM, 10, FALSE), 1)</f>
        <v>1.6507707926589138E-5</v>
      </c>
      <c r="F12" s="7">
        <f>$B12 * IFERROR(VLOOKUP("LULUCF|SO2|Respiratory hospital admissions", US_national_yearly!$D:$AM, 14, FALSE) / VLOOKUP("LULUCF|SO2|Respiratory hospital admissions", US_national_yearly!$D:$AM, 10, FALSE), 1)</f>
        <v>1.6603378400657874E-5</v>
      </c>
      <c r="G12" s="7">
        <f>$B12 * IFERROR(VLOOKUP("LULUCF|SO2|Respiratory hospital admissions", US_national_yearly!$D:$AM, 15, FALSE) / VLOOKUP("LULUCF|SO2|Respiratory hospital admissions", US_national_yearly!$D:$AM, 10, FALSE), 1)</f>
        <v>1.6707675354226818E-5</v>
      </c>
      <c r="H12" s="7">
        <f>$B12 * IFERROR(VLOOKUP("LULUCF|SO2|Respiratory hospital admissions", US_national_yearly!$D:$AM, 16, FALSE) / VLOOKUP("LULUCF|SO2|Respiratory hospital admissions", US_national_yearly!$D:$AM, 10, FALSE), 1)</f>
        <v>1.6811972307795765E-5</v>
      </c>
      <c r="I12" s="7">
        <f>$B12 * IFERROR(VLOOKUP("LULUCF|SO2|Respiratory hospital admissions", US_national_yearly!$D:$AM, 17, FALSE) / VLOOKUP("LULUCF|SO2|Respiratory hospital admissions", US_national_yearly!$D:$AM, 10, FALSE), 1)</f>
        <v>1.6914821522040836E-5</v>
      </c>
      <c r="J12" s="7">
        <f>$B12 * IFERROR(VLOOKUP("LULUCF|SO2|Respiratory hospital admissions", US_national_yearly!$D:$AM, 18, FALSE) / VLOOKUP("LULUCF|SO2|Respiratory hospital admissions", US_national_yearly!$D:$AM, 10, FALSE), 1)</f>
        <v>1.7017670736285909E-5</v>
      </c>
      <c r="K12" s="7">
        <f>$B12 * IFERROR(VLOOKUP("LULUCF|SO2|Respiratory hospital admissions", US_national_yearly!$D:$AM, 19, FALSE) / VLOOKUP("LULUCF|SO2|Respiratory hospital admissions", US_national_yearly!$D:$AM, 10, FALSE), 1)</f>
        <v>1.7120519950530977E-5</v>
      </c>
      <c r="L12" s="7">
        <f>$B12 * IFERROR(VLOOKUP("LULUCF|SO2|Respiratory hospital admissions", US_national_yearly!$D:$AM, 20, FALSE) / VLOOKUP("LULUCF|SO2|Respiratory hospital admissions", US_national_yearly!$D:$AM, 10, FALSE), 1)</f>
        <v>1.722336916477605E-5</v>
      </c>
      <c r="M12" s="7">
        <f>$B12 * IFERROR(VLOOKUP("LULUCF|SO2|Respiratory hospital admissions", US_national_yearly!$D:$AM, 21, FALSE) / VLOOKUP("LULUCF|SO2|Respiratory hospital admissions", US_national_yearly!$D:$AM, 10, FALSE), 1)</f>
        <v>1.7326218379021117E-5</v>
      </c>
      <c r="N12" s="7">
        <f>$B12 * IFERROR(VLOOKUP("LULUCF|SO2|Respiratory hospital admissions", US_national_yearly!$D:$AM, 22, FALSE) / VLOOKUP("LULUCF|SO2|Respiratory hospital admissions", US_national_yearly!$D:$AM, 10, FALSE), 1)</f>
        <v>1.7401295130609003E-5</v>
      </c>
      <c r="O12" s="7">
        <f>$B12 * IFERROR(VLOOKUP("LULUCF|SO2|Respiratory hospital admissions", US_national_yearly!$D:$AM, 23, FALSE) / VLOOKUP("LULUCF|SO2|Respiratory hospital admissions", US_national_yearly!$D:$AM, 10, FALSE), 1)</f>
        <v>1.7476371882196888E-5</v>
      </c>
      <c r="P12" s="7">
        <f>$B12 * IFERROR(VLOOKUP("LULUCF|SO2|Respiratory hospital admissions", US_national_yearly!$D:$AM, 24, FALSE) / VLOOKUP("LULUCF|SO2|Respiratory hospital admissions", US_national_yearly!$D:$AM, 10, FALSE), 1)</f>
        <v>1.7551448633784773E-5</v>
      </c>
      <c r="Q12" s="7">
        <f>$B12 * IFERROR(VLOOKUP("LULUCF|SO2|Respiratory hospital admissions", US_national_yearly!$D:$AM, 25, FALSE) / VLOOKUP("LULUCF|SO2|Respiratory hospital admissions", US_national_yearly!$D:$AM, 10, FALSE), 1)</f>
        <v>1.7626525385372662E-5</v>
      </c>
      <c r="R12" s="7">
        <f>$B12 * IFERROR(VLOOKUP("LULUCF|SO2|Respiratory hospital admissions", US_national_yearly!$D:$AM, 26, FALSE) / VLOOKUP("LULUCF|SO2|Respiratory hospital admissions", US_national_yearly!$D:$AM, 10, FALSE), 1)</f>
        <v>1.7701602136960544E-5</v>
      </c>
      <c r="S12" s="7">
        <f>$B12 * IFERROR(VLOOKUP("LULUCF|SO2|Respiratory hospital admissions", US_national_yearly!$D:$AM, 27, FALSE) / VLOOKUP("LULUCF|SO2|Respiratory hospital admissions", US_national_yearly!$D:$AM, 10, FALSE), 1)</f>
        <v>1.7773219629457596E-5</v>
      </c>
      <c r="T12" s="7">
        <f>$B12 * IFERROR(VLOOKUP("LULUCF|SO2|Respiratory hospital admissions", US_national_yearly!$D:$AM, 28, FALSE) / VLOOKUP("LULUCF|SO2|Respiratory hospital admissions", US_national_yearly!$D:$AM, 10, FALSE), 1)</f>
        <v>1.7844837121954642E-5</v>
      </c>
      <c r="U12" s="7">
        <f>$B12 * IFERROR(VLOOKUP("LULUCF|SO2|Respiratory hospital admissions", US_national_yearly!$D:$AM, 29, FALSE) / VLOOKUP("LULUCF|SO2|Respiratory hospital admissions", US_national_yearly!$D:$AM, 10, FALSE), 1)</f>
        <v>1.7916454614451694E-5</v>
      </c>
      <c r="V12" s="7">
        <f>$B12 * IFERROR(VLOOKUP("LULUCF|SO2|Respiratory hospital admissions", US_national_yearly!$D:$AM, 30, FALSE) / VLOOKUP("LULUCF|SO2|Respiratory hospital admissions", US_national_yearly!$D:$AM, 10, FALSE), 1)</f>
        <v>1.7988072106948743E-5</v>
      </c>
      <c r="W12" s="7">
        <f>$B12 * IFERROR(VLOOKUP("LULUCF|SO2|Respiratory hospital admissions", US_national_yearly!$D:$AM, 31, FALSE) / VLOOKUP("LULUCF|SO2|Respiratory hospital admissions", US_national_yearly!$D:$AM, 10, FALSE), 1)</f>
        <v>1.8059689599445795E-5</v>
      </c>
      <c r="X12" s="7">
        <f>$B12 * IFERROR(VLOOKUP("LULUCF|SO2|Respiratory hospital admissions", US_national_yearly!$D:$AM, 32, FALSE) / VLOOKUP("LULUCF|SO2|Respiratory hospital admissions", US_national_yearly!$D:$AM, 10, FALSE), 1)</f>
        <v>1.8127642841630565E-5</v>
      </c>
      <c r="Y12" s="7">
        <f>$B12 * IFERROR(VLOOKUP("LULUCF|SO2|Respiratory hospital admissions", US_national_yearly!$D:$AM, 33, FALSE) / VLOOKUP("LULUCF|SO2|Respiratory hospital admissions", US_national_yearly!$D:$AM, 10, FALSE), 1)</f>
        <v>1.8195596083815338E-5</v>
      </c>
      <c r="Z12" s="7">
        <f>$B12 * IFERROR(VLOOKUP("LULUCF|SO2|Respiratory hospital admissions", US_national_yearly!$D:$AM, 34, FALSE) / VLOOKUP("LULUCF|SO2|Respiratory hospital admissions", US_national_yearly!$D:$AM, 10, FALSE), 1)</f>
        <v>1.8263549326000108E-5</v>
      </c>
      <c r="AA12" s="7">
        <f>$B12 * IFERROR(VLOOKUP("LULUCF|SO2|Respiratory hospital admissions", US_national_yearly!$D:$AM, 35, FALSE) / VLOOKUP("LULUCF|SO2|Respiratory hospital admissions", US_national_yearly!$D:$AM, 10, FALSE), 1)</f>
        <v>1.8331502568184877E-5</v>
      </c>
      <c r="AB12" s="7">
        <f>$B12 * IFERROR(VLOOKUP("LULUCF|SO2|Respiratory hospital admissions", US_national_yearly!$D:$AM, 36, FALSE) / VLOOKUP("LULUCF|SO2|Respiratory hospital admissions", US_national_yearly!$D:$AM, 10, FALSE), 1)</f>
        <v>1.839945581036965E-5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1.0184100245726171E-4</v>
      </c>
      <c r="C13" s="7">
        <f>$B13 * IFERROR(VLOOKUP("LULUCF|SO2|Non-fatal heart attacks", US_national_yearly!$D:$AM, 11, FALSE) / VLOOKUP("LULUCF|SO2|Non-fatal heart attacks", US_national_yearly!$D:$AM, 10, FALSE), 1)</f>
        <v>1.0483068438260371E-4</v>
      </c>
      <c r="D13" s="7">
        <f>$B13 * IFERROR(VLOOKUP("LULUCF|SO2|Non-fatal heart attacks", US_national_yearly!$D:$AM, 12, FALSE) / VLOOKUP("LULUCF|SO2|Non-fatal heart attacks", US_national_yearly!$D:$AM, 10, FALSE), 1)</f>
        <v>1.0782036630794571E-4</v>
      </c>
      <c r="E13" s="7">
        <f>$B13 * IFERROR(VLOOKUP("LULUCF|SO2|Non-fatal heart attacks", US_national_yearly!$D:$AM, 13, FALSE) / VLOOKUP("LULUCF|SO2|Non-fatal heart attacks", US_national_yearly!$D:$AM, 10, FALSE), 1)</f>
        <v>1.1081004823328772E-4</v>
      </c>
      <c r="F13" s="7">
        <f>$B13 * IFERROR(VLOOKUP("LULUCF|SO2|Non-fatal heart attacks", US_national_yearly!$D:$AM, 14, FALSE) / VLOOKUP("LULUCF|SO2|Non-fatal heart attacks", US_national_yearly!$D:$AM, 10, FALSE), 1)</f>
        <v>1.137997301586297E-4</v>
      </c>
      <c r="G13" s="7">
        <f>$B13 * IFERROR(VLOOKUP("LULUCF|SO2|Non-fatal heart attacks", US_national_yearly!$D:$AM, 15, FALSE) / VLOOKUP("LULUCF|SO2|Non-fatal heart attacks", US_national_yearly!$D:$AM, 10, FALSE), 1)</f>
        <v>1.166192775241666E-4</v>
      </c>
      <c r="H13" s="7">
        <f>$B13 * IFERROR(VLOOKUP("LULUCF|SO2|Non-fatal heart attacks", US_national_yearly!$D:$AM, 16, FALSE) / VLOOKUP("LULUCF|SO2|Non-fatal heart attacks", US_national_yearly!$D:$AM, 10, FALSE), 1)</f>
        <v>1.1943882488970352E-4</v>
      </c>
      <c r="I13" s="7">
        <f>$B13 * IFERROR(VLOOKUP("LULUCF|SO2|Non-fatal heart attacks", US_national_yearly!$D:$AM, 17, FALSE) / VLOOKUP("LULUCF|SO2|Non-fatal heart attacks", US_national_yearly!$D:$AM, 10, FALSE), 1)</f>
        <v>1.2170767663174057E-4</v>
      </c>
      <c r="J13" s="7">
        <f>$B13 * IFERROR(VLOOKUP("LULUCF|SO2|Non-fatal heart attacks", US_national_yearly!$D:$AM, 18, FALSE) / VLOOKUP("LULUCF|SO2|Non-fatal heart attacks", US_national_yearly!$D:$AM, 10, FALSE), 1)</f>
        <v>1.2397652837377763E-4</v>
      </c>
      <c r="K13" s="7">
        <f>$B13 * IFERROR(VLOOKUP("LULUCF|SO2|Non-fatal heart attacks", US_national_yearly!$D:$AM, 19, FALSE) / VLOOKUP("LULUCF|SO2|Non-fatal heart attacks", US_national_yearly!$D:$AM, 10, FALSE), 1)</f>
        <v>1.2624538011581467E-4</v>
      </c>
      <c r="L13" s="7">
        <f>$B13 * IFERROR(VLOOKUP("LULUCF|SO2|Non-fatal heart attacks", US_national_yearly!$D:$AM, 20, FALSE) / VLOOKUP("LULUCF|SO2|Non-fatal heart attacks", US_national_yearly!$D:$AM, 10, FALSE), 1)</f>
        <v>1.2851423185785178E-4</v>
      </c>
      <c r="M13" s="7">
        <f>$B13 * IFERROR(VLOOKUP("LULUCF|SO2|Non-fatal heart attacks", US_national_yearly!$D:$AM, 21, FALSE) / VLOOKUP("LULUCF|SO2|Non-fatal heart attacks", US_national_yearly!$D:$AM, 10, FALSE), 1)</f>
        <v>1.3078308359988885E-4</v>
      </c>
      <c r="N13" s="7">
        <f>$B13 * IFERROR(VLOOKUP("LULUCF|SO2|Non-fatal heart attacks", US_national_yearly!$D:$AM, 22, FALSE) / VLOOKUP("LULUCF|SO2|Non-fatal heart attacks", US_national_yearly!$D:$AM, 10, FALSE), 1)</f>
        <v>1.3225627644735934E-4</v>
      </c>
      <c r="O13" s="7">
        <f>$B13 * IFERROR(VLOOKUP("LULUCF|SO2|Non-fatal heart attacks", US_national_yearly!$D:$AM, 23, FALSE) / VLOOKUP("LULUCF|SO2|Non-fatal heart attacks", US_national_yearly!$D:$AM, 10, FALSE), 1)</f>
        <v>1.3372946929482988E-4</v>
      </c>
      <c r="P13" s="7">
        <f>$B13 * IFERROR(VLOOKUP("LULUCF|SO2|Non-fatal heart attacks", US_national_yearly!$D:$AM, 24, FALSE) / VLOOKUP("LULUCF|SO2|Non-fatal heart attacks", US_national_yearly!$D:$AM, 10, FALSE), 1)</f>
        <v>1.3520266214230039E-4</v>
      </c>
      <c r="Q13" s="7">
        <f>$B13 * IFERROR(VLOOKUP("LULUCF|SO2|Non-fatal heart attacks", US_national_yearly!$D:$AM, 25, FALSE) / VLOOKUP("LULUCF|SO2|Non-fatal heart attacks", US_national_yearly!$D:$AM, 10, FALSE), 1)</f>
        <v>1.3667585498977091E-4</v>
      </c>
      <c r="R13" s="7">
        <f>$B13 * IFERROR(VLOOKUP("LULUCF|SO2|Non-fatal heart attacks", US_national_yearly!$D:$AM, 26, FALSE) / VLOOKUP("LULUCF|SO2|Non-fatal heart attacks", US_national_yearly!$D:$AM, 10, FALSE), 1)</f>
        <v>1.3814904783724142E-4</v>
      </c>
      <c r="S13" s="7">
        <f>$B13 * IFERROR(VLOOKUP("LULUCF|SO2|Non-fatal heart attacks", US_national_yearly!$D:$AM, 27, FALSE) / VLOOKUP("LULUCF|SO2|Non-fatal heart attacks", US_national_yearly!$D:$AM, 10, FALSE), 1)</f>
        <v>1.3891819353650681E-4</v>
      </c>
      <c r="T13" s="7">
        <f>$B13 * IFERROR(VLOOKUP("LULUCF|SO2|Non-fatal heart attacks", US_national_yearly!$D:$AM, 28, FALSE) / VLOOKUP("LULUCF|SO2|Non-fatal heart attacks", US_national_yearly!$D:$AM, 10, FALSE), 1)</f>
        <v>1.3968733923577217E-4</v>
      </c>
      <c r="U13" s="7">
        <f>$B13 * IFERROR(VLOOKUP("LULUCF|SO2|Non-fatal heart attacks", US_national_yearly!$D:$AM, 29, FALSE) / VLOOKUP("LULUCF|SO2|Non-fatal heart attacks", US_national_yearly!$D:$AM, 10, FALSE), 1)</f>
        <v>1.404564849350375E-4</v>
      </c>
      <c r="V13" s="7">
        <f>$B13 * IFERROR(VLOOKUP("LULUCF|SO2|Non-fatal heart attacks", US_national_yearly!$D:$AM, 30, FALSE) / VLOOKUP("LULUCF|SO2|Non-fatal heart attacks", US_national_yearly!$D:$AM, 10, FALSE), 1)</f>
        <v>1.4122563063430287E-4</v>
      </c>
      <c r="W13" s="7">
        <f>$B13 * IFERROR(VLOOKUP("LULUCF|SO2|Non-fatal heart attacks", US_national_yearly!$D:$AM, 31, FALSE) / VLOOKUP("LULUCF|SO2|Non-fatal heart attacks", US_national_yearly!$D:$AM, 10, FALSE), 1)</f>
        <v>1.4199477633356825E-4</v>
      </c>
      <c r="X13" s="7">
        <f>$B13 * IFERROR(VLOOKUP("LULUCF|SO2|Non-fatal heart attacks", US_national_yearly!$D:$AM, 32, FALSE) / VLOOKUP("LULUCF|SO2|Non-fatal heart attacks", US_national_yearly!$D:$AM, 10, FALSE), 1)</f>
        <v>1.4257541405637717E-4</v>
      </c>
      <c r="Y13" s="7">
        <f>$B13 * IFERROR(VLOOKUP("LULUCF|SO2|Non-fatal heart attacks", US_national_yearly!$D:$AM, 33, FALSE) / VLOOKUP("LULUCF|SO2|Non-fatal heart attacks", US_national_yearly!$D:$AM, 10, FALSE), 1)</f>
        <v>1.4315605177918608E-4</v>
      </c>
      <c r="Z13" s="7">
        <f>$B13 * IFERROR(VLOOKUP("LULUCF|SO2|Non-fatal heart attacks", US_national_yearly!$D:$AM, 34, FALSE) / VLOOKUP("LULUCF|SO2|Non-fatal heart attacks", US_national_yearly!$D:$AM, 10, FALSE), 1)</f>
        <v>1.4373668950199499E-4</v>
      </c>
      <c r="AA13" s="7">
        <f>$B13 * IFERROR(VLOOKUP("LULUCF|SO2|Non-fatal heart attacks", US_national_yearly!$D:$AM, 35, FALSE) / VLOOKUP("LULUCF|SO2|Non-fatal heart attacks", US_national_yearly!$D:$AM, 10, FALSE), 1)</f>
        <v>1.443173272248039E-4</v>
      </c>
      <c r="AB13" s="7">
        <f>$B13 * IFERROR(VLOOKUP("LULUCF|SO2|Non-fatal heart attacks", US_national_yearly!$D:$AM, 36, FALSE) / VLOOKUP("LULUCF|SO2|Non-fatal heart attacks", US_national_yearly!$D:$AM, 10, FALSE), 1)</f>
        <v>1.4489796494761281E-4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7.4374120603338506E-2</v>
      </c>
      <c r="C14" s="7">
        <f>$B14 * IFERROR(VLOOKUP("LULUCF|SO2|Minor restricted activity days", US_national_yearly!$D:$AM, 11, FALSE) / VLOOKUP("LULUCF|SO2|Minor restricted activity days", US_national_yearly!$D:$AM, 10, FALSE), 1)</f>
        <v>7.4561592980493557E-2</v>
      </c>
      <c r="D14" s="7">
        <f>$B14 * IFERROR(VLOOKUP("LULUCF|SO2|Minor restricted activity days", US_national_yearly!$D:$AM, 12, FALSE) / VLOOKUP("LULUCF|SO2|Minor restricted activity days", US_national_yearly!$D:$AM, 10, FALSE), 1)</f>
        <v>7.4749065357648581E-2</v>
      </c>
      <c r="E14" s="7">
        <f>$B14 * IFERROR(VLOOKUP("LULUCF|SO2|Minor restricted activity days", US_national_yearly!$D:$AM, 13, FALSE) / VLOOKUP("LULUCF|SO2|Minor restricted activity days", US_national_yearly!$D:$AM, 10, FALSE), 1)</f>
        <v>7.4936537734803632E-2</v>
      </c>
      <c r="F14" s="7">
        <f>$B14 * IFERROR(VLOOKUP("LULUCF|SO2|Minor restricted activity days", US_national_yearly!$D:$AM, 14, FALSE) / VLOOKUP("LULUCF|SO2|Minor restricted activity days", US_national_yearly!$D:$AM, 10, FALSE), 1)</f>
        <v>7.5124010111958656E-2</v>
      </c>
      <c r="G14" s="7">
        <f>$B14 * IFERROR(VLOOKUP("LULUCF|SO2|Minor restricted activity days", US_national_yearly!$D:$AM, 15, FALSE) / VLOOKUP("LULUCF|SO2|Minor restricted activity days", US_national_yearly!$D:$AM, 10, FALSE), 1)</f>
        <v>7.5399951033741697E-2</v>
      </c>
      <c r="H14" s="7">
        <f>$B14 * IFERROR(VLOOKUP("LULUCF|SO2|Minor restricted activity days", US_national_yearly!$D:$AM, 16, FALSE) / VLOOKUP("LULUCF|SO2|Minor restricted activity days", US_national_yearly!$D:$AM, 10, FALSE), 1)</f>
        <v>7.5675891955524752E-2</v>
      </c>
      <c r="I14" s="7">
        <f>$B14 * IFERROR(VLOOKUP("LULUCF|SO2|Minor restricted activity days", US_national_yearly!$D:$AM, 17, FALSE) / VLOOKUP("LULUCF|SO2|Minor restricted activity days", US_national_yearly!$D:$AM, 10, FALSE), 1)</f>
        <v>7.6146483476918297E-2</v>
      </c>
      <c r="J14" s="7">
        <f>$B14 * IFERROR(VLOOKUP("LULUCF|SO2|Minor restricted activity days", US_national_yearly!$D:$AM, 18, FALSE) / VLOOKUP("LULUCF|SO2|Minor restricted activity days", US_national_yearly!$D:$AM, 10, FALSE), 1)</f>
        <v>7.6617074998311843E-2</v>
      </c>
      <c r="K14" s="7">
        <f>$B14 * IFERROR(VLOOKUP("LULUCF|SO2|Minor restricted activity days", US_national_yearly!$D:$AM, 19, FALSE) / VLOOKUP("LULUCF|SO2|Minor restricted activity days", US_national_yearly!$D:$AM, 10, FALSE), 1)</f>
        <v>7.7087666519705403E-2</v>
      </c>
      <c r="L14" s="7">
        <f>$B14 * IFERROR(VLOOKUP("LULUCF|SO2|Minor restricted activity days", US_national_yearly!$D:$AM, 20, FALSE) / VLOOKUP("LULUCF|SO2|Minor restricted activity days", US_national_yearly!$D:$AM, 10, FALSE), 1)</f>
        <v>7.7558258041098949E-2</v>
      </c>
      <c r="M14" s="7">
        <f>$B14 * IFERROR(VLOOKUP("LULUCF|SO2|Minor restricted activity days", US_national_yearly!$D:$AM, 21, FALSE) / VLOOKUP("LULUCF|SO2|Minor restricted activity days", US_national_yearly!$D:$AM, 10, FALSE), 1)</f>
        <v>7.8028849562492494E-2</v>
      </c>
      <c r="N14" s="7">
        <f>$B14 * IFERROR(VLOOKUP("LULUCF|SO2|Minor restricted activity days", US_national_yearly!$D:$AM, 22, FALSE) / VLOOKUP("LULUCF|SO2|Minor restricted activity days", US_national_yearly!$D:$AM, 10, FALSE), 1)</f>
        <v>7.8672543253124103E-2</v>
      </c>
      <c r="O14" s="7">
        <f>$B14 * IFERROR(VLOOKUP("LULUCF|SO2|Minor restricted activity days", US_national_yearly!$D:$AM, 23, FALSE) / VLOOKUP("LULUCF|SO2|Minor restricted activity days", US_national_yearly!$D:$AM, 10, FALSE), 1)</f>
        <v>7.9316236943755711E-2</v>
      </c>
      <c r="P14" s="7">
        <f>$B14 * IFERROR(VLOOKUP("LULUCF|SO2|Minor restricted activity days", US_national_yearly!$D:$AM, 24, FALSE) / VLOOKUP("LULUCF|SO2|Minor restricted activity days", US_national_yearly!$D:$AM, 10, FALSE), 1)</f>
        <v>7.9959930634387319E-2</v>
      </c>
      <c r="Q14" s="7">
        <f>$B14 * IFERROR(VLOOKUP("LULUCF|SO2|Minor restricted activity days", US_national_yearly!$D:$AM, 25, FALSE) / VLOOKUP("LULUCF|SO2|Minor restricted activity days", US_national_yearly!$D:$AM, 10, FALSE), 1)</f>
        <v>8.0603624325018927E-2</v>
      </c>
      <c r="R14" s="7">
        <f>$B14 * IFERROR(VLOOKUP("LULUCF|SO2|Minor restricted activity days", US_national_yearly!$D:$AM, 26, FALSE) / VLOOKUP("LULUCF|SO2|Minor restricted activity days", US_national_yearly!$D:$AM, 10, FALSE), 1)</f>
        <v>8.1247318015650535E-2</v>
      </c>
      <c r="S14" s="7">
        <f>$B14 * IFERROR(VLOOKUP("LULUCF|SO2|Minor restricted activity days", US_national_yearly!$D:$AM, 27, FALSE) / VLOOKUP("LULUCF|SO2|Minor restricted activity days", US_national_yearly!$D:$AM, 10, FALSE), 1)</f>
        <v>8.1903626734077375E-2</v>
      </c>
      <c r="T14" s="7">
        <f>$B14 * IFERROR(VLOOKUP("LULUCF|SO2|Minor restricted activity days", US_national_yearly!$D:$AM, 28, FALSE) / VLOOKUP("LULUCF|SO2|Minor restricted activity days", US_national_yearly!$D:$AM, 10, FALSE), 1)</f>
        <v>8.2559935452504216E-2</v>
      </c>
      <c r="U14" s="7">
        <f>$B14 * IFERROR(VLOOKUP("LULUCF|SO2|Minor restricted activity days", US_national_yearly!$D:$AM, 29, FALSE) / VLOOKUP("LULUCF|SO2|Minor restricted activity days", US_national_yearly!$D:$AM, 10, FALSE), 1)</f>
        <v>8.321624417093107E-2</v>
      </c>
      <c r="V14" s="7">
        <f>$B14 * IFERROR(VLOOKUP("LULUCF|SO2|Minor restricted activity days", US_national_yearly!$D:$AM, 30, FALSE) / VLOOKUP("LULUCF|SO2|Minor restricted activity days", US_national_yearly!$D:$AM, 10, FALSE), 1)</f>
        <v>8.387255288935791E-2</v>
      </c>
      <c r="W14" s="7">
        <f>$B14 * IFERROR(VLOOKUP("LULUCF|SO2|Minor restricted activity days", US_national_yearly!$D:$AM, 31, FALSE) / VLOOKUP("LULUCF|SO2|Minor restricted activity days", US_national_yearly!$D:$AM, 10, FALSE), 1)</f>
        <v>8.4528861607784778E-2</v>
      </c>
      <c r="X14" s="7">
        <f>$B14 * IFERROR(VLOOKUP("LULUCF|SO2|Minor restricted activity days", US_national_yearly!$D:$AM, 32, FALSE) / VLOOKUP("LULUCF|SO2|Minor restricted activity days", US_national_yearly!$D:$AM, 10, FALSE), 1)</f>
        <v>8.5106032825176217E-2</v>
      </c>
      <c r="Y14" s="7">
        <f>$B14 * IFERROR(VLOOKUP("LULUCF|SO2|Minor restricted activity days", US_national_yearly!$D:$AM, 33, FALSE) / VLOOKUP("LULUCF|SO2|Minor restricted activity days", US_national_yearly!$D:$AM, 10, FALSE), 1)</f>
        <v>8.5683204042567657E-2</v>
      </c>
      <c r="Z14" s="7">
        <f>$B14 * IFERROR(VLOOKUP("LULUCF|SO2|Minor restricted activity days", US_national_yearly!$D:$AM, 34, FALSE) / VLOOKUP("LULUCF|SO2|Minor restricted activity days", US_national_yearly!$D:$AM, 10, FALSE), 1)</f>
        <v>8.626037525995911E-2</v>
      </c>
      <c r="AA14" s="7">
        <f>$B14 * IFERROR(VLOOKUP("LULUCF|SO2|Minor restricted activity days", US_national_yearly!$D:$AM, 35, FALSE) / VLOOKUP("LULUCF|SO2|Minor restricted activity days", US_national_yearly!$D:$AM, 10, FALSE), 1)</f>
        <v>8.683754647735055E-2</v>
      </c>
      <c r="AB14" s="7">
        <f>$B14 * IFERROR(VLOOKUP("LULUCF|SO2|Minor restricted activity days", US_national_yearly!$D:$AM, 36, FALSE) / VLOOKUP("LULUCF|SO2|Minor restricted activity days", US_national_yearly!$D:$AM, 10, FALSE), 1)</f>
        <v>8.7414717694742003E-2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1.2635636662996622E-2</v>
      </c>
      <c r="C15" s="7">
        <f>$B15 * IFERROR(VLOOKUP("LULUCF|SO2|Work loss days", US_national_yearly!$D:$AM, 11, FALSE) / VLOOKUP("LULUCF|SO2|Work loss days", US_national_yearly!$D:$AM, 10, FALSE), 1)</f>
        <v>1.2676574117527923E-2</v>
      </c>
      <c r="D15" s="7">
        <f>$B15 * IFERROR(VLOOKUP("LULUCF|SO2|Work loss days", US_national_yearly!$D:$AM, 12, FALSE) / VLOOKUP("LULUCF|SO2|Work loss days", US_national_yearly!$D:$AM, 10, FALSE), 1)</f>
        <v>1.2717511572059224E-2</v>
      </c>
      <c r="E15" s="7">
        <f>$B15 * IFERROR(VLOOKUP("LULUCF|SO2|Work loss days", US_national_yearly!$D:$AM, 13, FALSE) / VLOOKUP("LULUCF|SO2|Work loss days", US_national_yearly!$D:$AM, 10, FALSE), 1)</f>
        <v>1.2758449026590525E-2</v>
      </c>
      <c r="F15" s="7">
        <f>$B15 * IFERROR(VLOOKUP("LULUCF|SO2|Work loss days", US_national_yearly!$D:$AM, 14, FALSE) / VLOOKUP("LULUCF|SO2|Work loss days", US_national_yearly!$D:$AM, 10, FALSE), 1)</f>
        <v>1.2799386481121826E-2</v>
      </c>
      <c r="G15" s="7">
        <f>$B15 * IFERROR(VLOOKUP("LULUCF|SO2|Work loss days", US_national_yearly!$D:$AM, 15, FALSE) / VLOOKUP("LULUCF|SO2|Work loss days", US_national_yearly!$D:$AM, 10, FALSE), 1)</f>
        <v>1.2852876274484688E-2</v>
      </c>
      <c r="H15" s="7">
        <f>$B15 * IFERROR(VLOOKUP("LULUCF|SO2|Work loss days", US_national_yearly!$D:$AM, 16, FALSE) / VLOOKUP("LULUCF|SO2|Work loss days", US_national_yearly!$D:$AM, 10, FALSE), 1)</f>
        <v>1.2906366067847546E-2</v>
      </c>
      <c r="I15" s="7">
        <f>$B15 * IFERROR(VLOOKUP("LULUCF|SO2|Work loss days", US_national_yearly!$D:$AM, 17, FALSE) / VLOOKUP("LULUCF|SO2|Work loss days", US_national_yearly!$D:$AM, 10, FALSE), 1)</f>
        <v>1.2984614455050685E-2</v>
      </c>
      <c r="J15" s="7">
        <f>$B15 * IFERROR(VLOOKUP("LULUCF|SO2|Work loss days", US_national_yearly!$D:$AM, 18, FALSE) / VLOOKUP("LULUCF|SO2|Work loss days", US_national_yearly!$D:$AM, 10, FALSE), 1)</f>
        <v>1.306286284225382E-2</v>
      </c>
      <c r="K15" s="7">
        <f>$B15 * IFERROR(VLOOKUP("LULUCF|SO2|Work loss days", US_national_yearly!$D:$AM, 19, FALSE) / VLOOKUP("LULUCF|SO2|Work loss days", US_national_yearly!$D:$AM, 10, FALSE), 1)</f>
        <v>1.3141111229456959E-2</v>
      </c>
      <c r="L15" s="7">
        <f>$B15 * IFERROR(VLOOKUP("LULUCF|SO2|Work loss days", US_national_yearly!$D:$AM, 20, FALSE) / VLOOKUP("LULUCF|SO2|Work loss days", US_national_yearly!$D:$AM, 10, FALSE), 1)</f>
        <v>1.3219359616660098E-2</v>
      </c>
      <c r="M15" s="7">
        <f>$B15 * IFERROR(VLOOKUP("LULUCF|SO2|Work loss days", US_national_yearly!$D:$AM, 21, FALSE) / VLOOKUP("LULUCF|SO2|Work loss days", US_national_yearly!$D:$AM, 10, FALSE), 1)</f>
        <v>1.3297608003863237E-2</v>
      </c>
      <c r="N15" s="7">
        <f>$B15 * IFERROR(VLOOKUP("LULUCF|SO2|Work loss days", US_national_yearly!$D:$AM, 22, FALSE) / VLOOKUP("LULUCF|SO2|Work loss days", US_national_yearly!$D:$AM, 10, FALSE), 1)</f>
        <v>1.3395718801219586E-2</v>
      </c>
      <c r="O15" s="7">
        <f>$B15 * IFERROR(VLOOKUP("LULUCF|SO2|Work loss days", US_national_yearly!$D:$AM, 23, FALSE) / VLOOKUP("LULUCF|SO2|Work loss days", US_national_yearly!$D:$AM, 10, FALSE), 1)</f>
        <v>1.3493829598575936E-2</v>
      </c>
      <c r="P15" s="7">
        <f>$B15 * IFERROR(VLOOKUP("LULUCF|SO2|Work loss days", US_national_yearly!$D:$AM, 24, FALSE) / VLOOKUP("LULUCF|SO2|Work loss days", US_national_yearly!$D:$AM, 10, FALSE), 1)</f>
        <v>1.3591940395932282E-2</v>
      </c>
      <c r="Q15" s="7">
        <f>$B15 * IFERROR(VLOOKUP("LULUCF|SO2|Work loss days", US_national_yearly!$D:$AM, 25, FALSE) / VLOOKUP("LULUCF|SO2|Work loss days", US_national_yearly!$D:$AM, 10, FALSE), 1)</f>
        <v>1.3690051193288633E-2</v>
      </c>
      <c r="R15" s="7">
        <f>$B15 * IFERROR(VLOOKUP("LULUCF|SO2|Work loss days", US_national_yearly!$D:$AM, 26, FALSE) / VLOOKUP("LULUCF|SO2|Work loss days", US_national_yearly!$D:$AM, 10, FALSE), 1)</f>
        <v>1.3788161990644983E-2</v>
      </c>
      <c r="S15" s="7">
        <f>$B15 * IFERROR(VLOOKUP("LULUCF|SO2|Work loss days", US_national_yearly!$D:$AM, 27, FALSE) / VLOOKUP("LULUCF|SO2|Work loss days", US_national_yearly!$D:$AM, 10, FALSE), 1)</f>
        <v>1.3897800483223536E-2</v>
      </c>
      <c r="T15" s="7">
        <f>$B15 * IFERROR(VLOOKUP("LULUCF|SO2|Work loss days", US_national_yearly!$D:$AM, 28, FALSE) / VLOOKUP("LULUCF|SO2|Work loss days", US_national_yearly!$D:$AM, 10, FALSE), 1)</f>
        <v>1.4007438975802091E-2</v>
      </c>
      <c r="U15" s="7">
        <f>$B15 * IFERROR(VLOOKUP("LULUCF|SO2|Work loss days", US_national_yearly!$D:$AM, 29, FALSE) / VLOOKUP("LULUCF|SO2|Work loss days", US_national_yearly!$D:$AM, 10, FALSE), 1)</f>
        <v>1.4117077468380644E-2</v>
      </c>
      <c r="V15" s="7">
        <f>$B15 * IFERROR(VLOOKUP("LULUCF|SO2|Work loss days", US_national_yearly!$D:$AM, 30, FALSE) / VLOOKUP("LULUCF|SO2|Work loss days", US_national_yearly!$D:$AM, 10, FALSE), 1)</f>
        <v>1.4226715960959197E-2</v>
      </c>
      <c r="W15" s="7">
        <f>$B15 * IFERROR(VLOOKUP("LULUCF|SO2|Work loss days", US_national_yearly!$D:$AM, 31, FALSE) / VLOOKUP("LULUCF|SO2|Work loss days", US_national_yearly!$D:$AM, 10, FALSE), 1)</f>
        <v>1.4336354453537752E-2</v>
      </c>
      <c r="X15" s="7">
        <f>$B15 * IFERROR(VLOOKUP("LULUCF|SO2|Work loss days", US_national_yearly!$D:$AM, 32, FALSE) / VLOOKUP("LULUCF|SO2|Work loss days", US_national_yearly!$D:$AM, 10, FALSE), 1)</f>
        <v>1.443479470767456E-2</v>
      </c>
      <c r="Y15" s="7">
        <f>$B15 * IFERROR(VLOOKUP("LULUCF|SO2|Work loss days", US_national_yearly!$D:$AM, 33, FALSE) / VLOOKUP("LULUCF|SO2|Work loss days", US_national_yearly!$D:$AM, 10, FALSE), 1)</f>
        <v>1.4533234961811373E-2</v>
      </c>
      <c r="Z15" s="7">
        <f>$B15 * IFERROR(VLOOKUP("LULUCF|SO2|Work loss days", US_national_yearly!$D:$AM, 34, FALSE) / VLOOKUP("LULUCF|SO2|Work loss days", US_national_yearly!$D:$AM, 10, FALSE), 1)</f>
        <v>1.4631675215948183E-2</v>
      </c>
      <c r="AA15" s="7">
        <f>$B15 * IFERROR(VLOOKUP("LULUCF|SO2|Work loss days", US_national_yearly!$D:$AM, 35, FALSE) / VLOOKUP("LULUCF|SO2|Work loss days", US_national_yearly!$D:$AM, 10, FALSE), 1)</f>
        <v>1.4730115470084995E-2</v>
      </c>
      <c r="AB15" s="7">
        <f>$B15 * IFERROR(VLOOKUP("LULUCF|SO2|Work loss days", US_national_yearly!$D:$AM, 36, FALSE) / VLOOKUP("LULUCF|SO2|Work loss days", US_national_yearly!$D:$AM, 10, FALSE), 1)</f>
        <v>1.4828555724221806E-2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2.6345301082012904E-5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2.7142083874002509E-5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2.7938866665992114E-5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2.873564945798172E-5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2.9532432249971328E-5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3.0295674402495878E-5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3.1058916555020431E-5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3.1712866134328136E-5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3.236681571363584E-5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3.3020765292943544E-5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3.3674714872251249E-5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3.4328664451558946E-5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3.4767969605828455E-5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3.5207274760097964E-5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3.5646579914367473E-5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3.6085885068636976E-5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3.6525190222906491E-5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3.6756233455496049E-5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3.6987276688085614E-5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3.7218319920675179E-5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3.7449363153264743E-5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3.7680406385854301E-5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3.7835513345597414E-5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3.7990620305340534E-5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3.8145727265083647E-5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3.8300834224826767E-5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3.8455941184569873E-5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2026-06-15T17:14:41Z</dcterms:modified>
</cp:coreProperties>
</file>