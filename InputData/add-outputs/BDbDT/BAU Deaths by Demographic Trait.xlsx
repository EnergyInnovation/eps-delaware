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687C2DFF-A9A6-476E-8BF7-BA533BC34988}"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Y45" i="9" s="1"/>
  <c r="X25" i="9"/>
  <c r="W25" i="9"/>
  <c r="V25" i="9"/>
  <c r="U25" i="9"/>
  <c r="T25" i="9"/>
  <c r="S25" i="9"/>
  <c r="R25" i="9"/>
  <c r="Q25" i="9"/>
  <c r="P25" i="9"/>
  <c r="O25" i="9"/>
  <c r="N25" i="9"/>
  <c r="M25" i="9"/>
  <c r="L25" i="9"/>
  <c r="K25" i="9"/>
  <c r="J25" i="9"/>
  <c r="I25" i="9"/>
  <c r="H25" i="9"/>
  <c r="G25" i="9"/>
  <c r="F25" i="9"/>
  <c r="F45" i="9" s="1"/>
  <c r="E25" i="9"/>
  <c r="E45" i="9" s="1"/>
  <c r="D25" i="9"/>
  <c r="D45" i="9" s="1"/>
  <c r="C25" i="9"/>
  <c r="C45" i="9" s="1"/>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P43" i="9" s="1"/>
  <c r="O23" i="9"/>
  <c r="O43" i="9" s="1"/>
  <c r="N23" i="9"/>
  <c r="N43" i="9" s="1"/>
  <c r="M23" i="9"/>
  <c r="L23" i="9"/>
  <c r="K23" i="9"/>
  <c r="J23" i="9"/>
  <c r="I23" i="9"/>
  <c r="H23" i="9"/>
  <c r="G23" i="9"/>
  <c r="F23" i="9"/>
  <c r="E23" i="9"/>
  <c r="D23" i="9"/>
  <c r="C23" i="9"/>
  <c r="B23" i="9"/>
  <c r="AB22" i="9"/>
  <c r="AA22" i="9"/>
  <c r="Z22" i="9"/>
  <c r="Y22" i="9"/>
  <c r="X22" i="9"/>
  <c r="W22" i="9"/>
  <c r="V22" i="9"/>
  <c r="U22" i="9"/>
  <c r="U42" i="9" s="1"/>
  <c r="T22" i="9"/>
  <c r="T42" i="9" s="1"/>
  <c r="S22" i="9"/>
  <c r="S42" i="9" s="1"/>
  <c r="R22" i="9"/>
  <c r="Q22" i="9"/>
  <c r="P22" i="9"/>
  <c r="O22" i="9"/>
  <c r="N22" i="9"/>
  <c r="M22" i="9"/>
  <c r="L22" i="9"/>
  <c r="K22" i="9"/>
  <c r="J22" i="9"/>
  <c r="I22" i="9"/>
  <c r="H22" i="9"/>
  <c r="G22" i="9"/>
  <c r="F22" i="9"/>
  <c r="E22" i="9"/>
  <c r="D22" i="9"/>
  <c r="C22" i="9"/>
  <c r="B22" i="9"/>
  <c r="AB21" i="9"/>
  <c r="AA21" i="9"/>
  <c r="Z21" i="9"/>
  <c r="Z41" i="9" s="1"/>
  <c r="Y21" i="9"/>
  <c r="Y41" i="9" s="1"/>
  <c r="X21" i="9"/>
  <c r="X41" i="9" s="1"/>
  <c r="W21" i="9"/>
  <c r="V21" i="9"/>
  <c r="U21" i="9"/>
  <c r="T21" i="9"/>
  <c r="S21" i="9"/>
  <c r="R21" i="9"/>
  <c r="Q21" i="9"/>
  <c r="P21" i="9"/>
  <c r="O21" i="9"/>
  <c r="N21" i="9"/>
  <c r="M21" i="9"/>
  <c r="L21" i="9"/>
  <c r="K21" i="9"/>
  <c r="J21" i="9"/>
  <c r="I21" i="9"/>
  <c r="H21" i="9"/>
  <c r="G21" i="9"/>
  <c r="F21" i="9"/>
  <c r="E21" i="9"/>
  <c r="D21" i="9"/>
  <c r="D41" i="9" s="1"/>
  <c r="C21" i="9"/>
  <c r="C41" i="9" s="1"/>
  <c r="B21" i="9"/>
  <c r="B41" i="9" s="1"/>
  <c r="AB20" i="9"/>
  <c r="AA20" i="9"/>
  <c r="Z20" i="9"/>
  <c r="Y20" i="9"/>
  <c r="X20" i="9"/>
  <c r="W20" i="9"/>
  <c r="V20" i="9"/>
  <c r="U20" i="9"/>
  <c r="T20" i="9"/>
  <c r="S20" i="9"/>
  <c r="R20" i="9"/>
  <c r="Q20" i="9"/>
  <c r="P20" i="9"/>
  <c r="O20" i="9"/>
  <c r="N20" i="9"/>
  <c r="M20" i="9"/>
  <c r="L20" i="9"/>
  <c r="K20" i="9"/>
  <c r="J20" i="9"/>
  <c r="I20" i="9"/>
  <c r="I40" i="9" s="1"/>
  <c r="H20" i="9"/>
  <c r="H40" i="9" s="1"/>
  <c r="G20" i="9"/>
  <c r="G40" i="9" s="1"/>
  <c r="F20" i="9"/>
  <c r="E20" i="9"/>
  <c r="D20" i="9"/>
  <c r="C20" i="9"/>
  <c r="B20" i="9"/>
  <c r="AB19" i="9"/>
  <c r="AA19" i="9"/>
  <c r="Z19" i="9"/>
  <c r="Y19" i="9"/>
  <c r="X19" i="9"/>
  <c r="W19" i="9"/>
  <c r="V19" i="9"/>
  <c r="U19" i="9"/>
  <c r="T19" i="9"/>
  <c r="S19" i="9"/>
  <c r="R19" i="9"/>
  <c r="Q19" i="9"/>
  <c r="P19" i="9"/>
  <c r="O19" i="9"/>
  <c r="N19" i="9"/>
  <c r="N39" i="9" s="1"/>
  <c r="M19" i="9"/>
  <c r="M39" i="9" s="1"/>
  <c r="L19" i="9"/>
  <c r="L39" i="9" s="1"/>
  <c r="K19" i="9"/>
  <c r="J19" i="9"/>
  <c r="I19" i="9"/>
  <c r="H19" i="9"/>
  <c r="G19" i="9"/>
  <c r="F19" i="9"/>
  <c r="E19" i="9"/>
  <c r="D19" i="9"/>
  <c r="C19" i="9"/>
  <c r="B19" i="9"/>
  <c r="AB18" i="9"/>
  <c r="AA18" i="9"/>
  <c r="Z18" i="9"/>
  <c r="Y18" i="9"/>
  <c r="X18" i="9"/>
  <c r="W18" i="9"/>
  <c r="V18" i="9"/>
  <c r="U18" i="9"/>
  <c r="T18" i="9"/>
  <c r="S18" i="9"/>
  <c r="S38" i="9" s="1"/>
  <c r="R18" i="9"/>
  <c r="R38" i="9" s="1"/>
  <c r="Q18" i="9"/>
  <c r="Q38" i="9" s="1"/>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M15" i="9" l="1"/>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AA61" i="9" s="1"/>
  <c r="AA5" i="11" s="1"/>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S51" i="9" s="1"/>
  <c r="S5" i="10" s="1"/>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C50" i="9" s="1"/>
  <c r="F10" i="9"/>
  <c r="F11" i="9"/>
  <c r="D55" i="9" s="1"/>
  <c r="D9" i="10" s="1"/>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G53" i="9" s="1"/>
  <c r="G7" i="10" s="1"/>
  <c r="N15" i="9"/>
  <c r="O15" i="9"/>
  <c r="P15" i="9"/>
  <c r="F5" i="9"/>
  <c r="G49" i="9" s="1"/>
  <c r="G3" i="10" s="1"/>
  <c r="G51" i="9" l="1"/>
  <c r="G5" i="10" s="1"/>
  <c r="Y55" i="9"/>
  <c r="Y9" i="10" s="1"/>
  <c r="L48" i="9"/>
  <c r="W58" i="9"/>
  <c r="W2" i="11" s="1"/>
  <c r="I53" i="9"/>
  <c r="I7" i="10" s="1"/>
  <c r="L53" i="9"/>
  <c r="L7" i="10" s="1"/>
  <c r="M63" i="9"/>
  <c r="M7" i="11" s="1"/>
  <c r="T58" i="9"/>
  <c r="T2" i="11" s="1"/>
  <c r="T59" i="9"/>
  <c r="T3" i="11" s="1"/>
  <c r="S59" i="9"/>
  <c r="S3" i="11" s="1"/>
  <c r="T63" i="9"/>
  <c r="T7" i="11" s="1"/>
  <c r="K48" i="9"/>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I60" i="9"/>
  <c r="B64" i="9"/>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K53" i="9"/>
  <c r="K7" i="10" s="1"/>
  <c r="Z50" i="9"/>
  <c r="Z4" i="10" s="1"/>
  <c r="L54" i="9"/>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Z49" i="9"/>
  <c r="Z3" i="10" s="1"/>
  <c r="C64" i="9"/>
  <c r="C8" i="11" s="1"/>
  <c r="K61" i="9"/>
  <c r="K5" i="11" s="1"/>
  <c r="Q64" i="9"/>
  <c r="S48" i="9"/>
  <c r="S2" i="10" s="1"/>
  <c r="T49" i="9"/>
  <c r="T3" i="10" s="1"/>
  <c r="S58" i="9"/>
  <c r="S71" i="9" s="1"/>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V73" i="9" s="1"/>
  <c r="AB51" i="9"/>
  <c r="AB5" i="10" s="1"/>
  <c r="W65" i="9"/>
  <c r="W9" i="11" s="1"/>
  <c r="Q50" i="9"/>
  <c r="Q4" i="10" s="1"/>
  <c r="Z61" i="9"/>
  <c r="Z5" i="11" s="1"/>
  <c r="J64" i="9"/>
  <c r="J73" i="9" s="1"/>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I4" i="11"/>
  <c r="S62" i="9"/>
  <c r="S6" i="11" s="1"/>
  <c r="AB62" i="9"/>
  <c r="AB6" i="11" s="1"/>
  <c r="AA49" i="9"/>
  <c r="AA3" i="10" s="1"/>
  <c r="H53" i="9"/>
  <c r="H7" i="10" s="1"/>
  <c r="R62" i="9"/>
  <c r="R6" i="11" s="1"/>
  <c r="AA4" i="11"/>
  <c r="AB49" i="9"/>
  <c r="AB3" i="10" s="1"/>
  <c r="S52" i="9"/>
  <c r="S6" i="10" s="1"/>
  <c r="L2" i="10"/>
  <c r="G62" i="9"/>
  <c r="G6" i="11" s="1"/>
  <c r="Z62" i="9"/>
  <c r="Z6" i="11" s="1"/>
  <c r="O4" i="10"/>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K2" i="10"/>
  <c r="Q52" i="9"/>
  <c r="Q6" i="10" s="1"/>
  <c r="P65" i="9"/>
  <c r="P9" i="11" s="1"/>
  <c r="D4" i="11"/>
  <c r="Q59" i="9"/>
  <c r="Q3" i="11" s="1"/>
  <c r="L49" i="9"/>
  <c r="L3" i="10" s="1"/>
  <c r="K49" i="9"/>
  <c r="K3" i="10" s="1"/>
  <c r="M49" i="9"/>
  <c r="M3" i="10" s="1"/>
  <c r="P50" i="9"/>
  <c r="P49" i="9"/>
  <c r="P3" i="10" s="1"/>
  <c r="T62" i="9"/>
  <c r="T6" i="11" s="1"/>
  <c r="U52" i="9"/>
  <c r="U6" i="10" s="1"/>
  <c r="J53" i="9"/>
  <c r="J7" i="10" s="1"/>
  <c r="J49" i="9"/>
  <c r="J3" i="10" s="1"/>
  <c r="K62" i="9"/>
  <c r="K6" i="11" s="1"/>
  <c r="Z63" i="9"/>
  <c r="Z7" i="11" s="1"/>
  <c r="B8" i="11"/>
  <c r="D62" i="9"/>
  <c r="D6" i="11" s="1"/>
  <c r="D8" i="11"/>
  <c r="Q62" i="9"/>
  <c r="Q6" i="11" s="1"/>
  <c r="M62" i="9"/>
  <c r="M6" i="11" s="1"/>
  <c r="V2" i="11"/>
  <c r="L8" i="10"/>
  <c r="AB52" i="9"/>
  <c r="AB6" i="10" s="1"/>
  <c r="M4" i="1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2" i="10"/>
  <c r="Z68" i="9"/>
  <c r="Z52" i="9"/>
  <c r="Z6" i="10" s="1"/>
  <c r="C52" i="9"/>
  <c r="C6" i="10" s="1"/>
  <c r="N63" i="9"/>
  <c r="N7" i="11" s="1"/>
  <c r="C4" i="10"/>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AA2" i="11"/>
  <c r="P63" i="9"/>
  <c r="P7" i="11" s="1"/>
  <c r="S53" i="9"/>
  <c r="S7" i="10" s="1"/>
  <c r="W52" i="9"/>
  <c r="W6" i="10" s="1"/>
  <c r="O59" i="9"/>
  <c r="O3" i="11" s="1"/>
  <c r="R68" i="9" l="1"/>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<sst xmlns="http://schemas.openxmlformats.org/spreadsheetml/2006/main" count="5677" uniqueCount="335">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</sst>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62</v>
      </c>
    </row>
    <row r="2" spans="1:2" x14ac:dyDescent="0.25">
      <c r="A2" s="3" t="s">
        <v>2</v>
      </c>
      <c r="B2" s="4" t="str">
        <f>IFERROR(INDEX(Geography!B:B, MATCH($B$1, Geography!C:C, 0)), "")</f>
        <v>DE</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508554</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1051917</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0.97518246692539201</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543363</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1051917</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1.0243999701265369</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703988</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1051917</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0.89057578549615823</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254378</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1051917</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1.7701534495882507</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50085</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1051917</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0.73737962309131821</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43466</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1051917</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0.87274507888041541</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122813</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1051917</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0.59829761992999153</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929104</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1051917</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1.0973933893416319</v>
      </c>
    </row>
    <row r="12" spans="1:28" x14ac:dyDescent="0.25">
      <c r="A12" s="4" t="s">
        <v>319</v>
      </c>
    </row>
    <row r="13" spans="1:28" x14ac:dyDescent="0.25">
      <c r="A13" s="4" t="s">
        <v>320</v>
      </c>
      <c r="B13" s="37">
        <f>INDEX(Census_pop_2020_2025!G:G, MATCH("."&amp;About!$B$1, Census_pop_2020_2025!A:A, 0))</f>
        <v>1050123</v>
      </c>
      <c r="C13" s="37">
        <f>INDEX(Census_pop_2020_2025!H:H, MATCH("."&amp;About!$B$1, Census_pop_2020_2025!A:A, 0))</f>
        <v>1059952</v>
      </c>
      <c r="D13" s="37">
        <f>INDEX(Census_pop_2020_2025!H:H, MATCH("."&amp;About!$B$1, Census_pop_2020_2025!A:A, 0))+0.2*(INDEX(Cooper_pop_2030_2050!D:D, MATCH(About!$B$1, Cooper_pop_2030_2050!B:B, 0))-INDEX(Census_pop_2020_2025!H:H, MATCH("."&amp;About!$B$1, Census_pop_2020_2025!A:A, 0)))</f>
        <v>1060696.1951566597</v>
      </c>
      <c r="E13" s="37">
        <f>INDEX(Census_pop_2020_2025!H:H, MATCH("."&amp;About!$B$1, Census_pop_2020_2025!A:A, 0))+0.4*(INDEX(Cooper_pop_2030_2050!D:D, MATCH(About!$B$1, Cooper_pop_2030_2050!B:B, 0))-INDEX(Census_pop_2020_2025!H:H, MATCH("."&amp;About!$B$1, Census_pop_2020_2025!A:A, 0)))</f>
        <v>1061440.3903133192</v>
      </c>
      <c r="F13" s="37">
        <f>INDEX(Census_pop_2020_2025!H:H, MATCH("."&amp;About!$B$1, Census_pop_2020_2025!A:A, 0))+0.6*(INDEX(Cooper_pop_2030_2050!D:D, MATCH(About!$B$1, Cooper_pop_2030_2050!B:B, 0))-INDEX(Census_pop_2020_2025!H:H, MATCH("."&amp;About!$B$1, Census_pop_2020_2025!A:A, 0)))</f>
        <v>1062184.5854699789</v>
      </c>
      <c r="G13" s="37">
        <f>INDEX(Census_pop_2020_2025!H:H, MATCH("."&amp;About!$B$1, Census_pop_2020_2025!A:A, 0))+0.8*(INDEX(Cooper_pop_2030_2050!D:D, MATCH(About!$B$1, Cooper_pop_2030_2050!B:B, 0))-INDEX(Census_pop_2020_2025!H:H, MATCH("."&amp;About!$B$1, Census_pop_2020_2025!A:A, 0)))</f>
        <v>1062928.7806266383</v>
      </c>
      <c r="H13" s="37">
        <f>INDEX(Cooper_pop_2030_2050!D:D, MATCH(About!$B$1, Cooper_pop_2030_2050!B:B, 0))</f>
        <v>1063672.975783298</v>
      </c>
      <c r="I13" s="37">
        <f>INDEX(Cooper_pop_2030_2050!D:D, MATCH(About!$B$1, Cooper_pop_2030_2050!B:B, 0))+0.1*(INDEX(Cooper_pop_2030_2050!E:E, MATCH(About!$B$1, Cooper_pop_2030_2050!B:B, 0))-INDEX(Cooper_pop_2030_2050!D:D, MATCH(About!$B$1, Cooper_pop_2030_2050!B:B, 0)))</f>
        <v>1070051.9570111998</v>
      </c>
      <c r="J13" s="37">
        <f>INDEX(Cooper_pop_2030_2050!D:D, MATCH(About!$B$1, Cooper_pop_2030_2050!B:B, 0))+0.2*(INDEX(Cooper_pop_2030_2050!E:E, MATCH(About!$B$1, Cooper_pop_2030_2050!B:B, 0))-INDEX(Cooper_pop_2030_2050!D:D, MATCH(About!$B$1, Cooper_pop_2030_2050!B:B, 0)))</f>
        <v>1076430.9382391016</v>
      </c>
      <c r="K13" s="37">
        <f>INDEX(Cooper_pop_2030_2050!D:D, MATCH(About!$B$1, Cooper_pop_2030_2050!B:B, 0))+0.3*(INDEX(Cooper_pop_2030_2050!E:E, MATCH(About!$B$1, Cooper_pop_2030_2050!B:B, 0))-INDEX(Cooper_pop_2030_2050!D:D, MATCH(About!$B$1, Cooper_pop_2030_2050!B:B, 0)))</f>
        <v>1082809.9194670033</v>
      </c>
      <c r="L13" s="37">
        <f>INDEX(Cooper_pop_2030_2050!D:D, MATCH(About!$B$1, Cooper_pop_2030_2050!B:B, 0))+0.4*(INDEX(Cooper_pop_2030_2050!E:E, MATCH(About!$B$1, Cooper_pop_2030_2050!B:B, 0))-INDEX(Cooper_pop_2030_2050!D:D, MATCH(About!$B$1, Cooper_pop_2030_2050!B:B, 0)))</f>
        <v>1089188.9006949051</v>
      </c>
      <c r="M13" s="37">
        <f>INDEX(Cooper_pop_2030_2050!D:D, MATCH(About!$B$1, Cooper_pop_2030_2050!B:B, 0))+0.5*(INDEX(Cooper_pop_2030_2050!E:E, MATCH(About!$B$1, Cooper_pop_2030_2050!B:B, 0))-INDEX(Cooper_pop_2030_2050!D:D, MATCH(About!$B$1, Cooper_pop_2030_2050!B:B, 0)))</f>
        <v>1095567.8819228071</v>
      </c>
      <c r="N13" s="37">
        <f>INDEX(Cooper_pop_2030_2050!D:D, MATCH(About!$B$1, Cooper_pop_2030_2050!B:B, 0))+0.6*(INDEX(Cooper_pop_2030_2050!E:E, MATCH(About!$B$1, Cooper_pop_2030_2050!B:B, 0))-INDEX(Cooper_pop_2030_2050!D:D, MATCH(About!$B$1, Cooper_pop_2030_2050!B:B, 0)))</f>
        <v>1101946.8631507088</v>
      </c>
      <c r="O13" s="37">
        <f>INDEX(Cooper_pop_2030_2050!D:D, MATCH(About!$B$1, Cooper_pop_2030_2050!B:B, 0))+0.7*(INDEX(Cooper_pop_2030_2050!E:E, MATCH(About!$B$1, Cooper_pop_2030_2050!B:B, 0))-INDEX(Cooper_pop_2030_2050!D:D, MATCH(About!$B$1, Cooper_pop_2030_2050!B:B, 0)))</f>
        <v>1108325.8443786106</v>
      </c>
      <c r="P13" s="37">
        <f>INDEX(Cooper_pop_2030_2050!D:D, MATCH(About!$B$1, Cooper_pop_2030_2050!B:B, 0))+0.8*(INDEX(Cooper_pop_2030_2050!E:E, MATCH(About!$B$1, Cooper_pop_2030_2050!B:B, 0))-INDEX(Cooper_pop_2030_2050!D:D, MATCH(About!$B$1, Cooper_pop_2030_2050!B:B, 0)))</f>
        <v>1114704.8256065124</v>
      </c>
      <c r="Q13" s="37">
        <f>INDEX(Cooper_pop_2030_2050!D:D, MATCH(About!$B$1, Cooper_pop_2030_2050!B:B, 0))+0.9*(INDEX(Cooper_pop_2030_2050!E:E, MATCH(About!$B$1, Cooper_pop_2030_2050!B:B, 0))-INDEX(Cooper_pop_2030_2050!D:D, MATCH(About!$B$1, Cooper_pop_2030_2050!B:B, 0)))</f>
        <v>1121083.8068344141</v>
      </c>
      <c r="R13" s="37">
        <f>INDEX(Cooper_pop_2030_2050!E:E, MATCH(About!$B$1, Cooper_pop_2030_2050!B:B, 0))</f>
        <v>1127462.7880623159</v>
      </c>
      <c r="S13" s="37">
        <f>INDEX(Cooper_pop_2030_2050!E:E, MATCH(About!$B$1, Cooper_pop_2030_2050!B:B, 0))+0.1*(INDEX(Cooper_pop_2030_2050!F:F, MATCH(About!$B$1, Cooper_pop_2030_2050!B:B, 0))-INDEX(Cooper_pop_2030_2050!E:E, MATCH(About!$B$1, Cooper_pop_2030_2050!B:B, 0)))</f>
        <v>1132823.9445614261</v>
      </c>
      <c r="T13" s="37">
        <f>INDEX(Cooper_pop_2030_2050!E:E, MATCH(About!$B$1, Cooper_pop_2030_2050!B:B, 0))+0.2*(INDEX(Cooper_pop_2030_2050!F:F, MATCH(About!$B$1, Cooper_pop_2030_2050!B:B, 0))-INDEX(Cooper_pop_2030_2050!E:E, MATCH(About!$B$1, Cooper_pop_2030_2050!B:B, 0)))</f>
        <v>1138185.1010605362</v>
      </c>
      <c r="U13" s="37">
        <f>INDEX(Cooper_pop_2030_2050!E:E, MATCH(About!$B$1, Cooper_pop_2030_2050!B:B, 0))+0.3*(INDEX(Cooper_pop_2030_2050!F:F, MATCH(About!$B$1, Cooper_pop_2030_2050!B:B, 0))-INDEX(Cooper_pop_2030_2050!E:E, MATCH(About!$B$1, Cooper_pop_2030_2050!B:B, 0)))</f>
        <v>1143546.2575596462</v>
      </c>
      <c r="V13" s="37">
        <f>INDEX(Cooper_pop_2030_2050!E:E, MATCH(About!$B$1, Cooper_pop_2030_2050!B:B, 0))+0.4*(INDEX(Cooper_pop_2030_2050!F:F, MATCH(About!$B$1, Cooper_pop_2030_2050!B:B, 0))-INDEX(Cooper_pop_2030_2050!E:E, MATCH(About!$B$1, Cooper_pop_2030_2050!B:B, 0)))</f>
        <v>1148907.4140587563</v>
      </c>
      <c r="W13" s="37">
        <f>INDEX(Cooper_pop_2030_2050!E:E, MATCH(About!$B$1, Cooper_pop_2030_2050!B:B, 0))+0.5*(INDEX(Cooper_pop_2030_2050!F:F, MATCH(About!$B$1, Cooper_pop_2030_2050!B:B, 0))-INDEX(Cooper_pop_2030_2050!E:E, MATCH(About!$B$1, Cooper_pop_2030_2050!B:B, 0)))</f>
        <v>1154268.5705578665</v>
      </c>
      <c r="X13" s="37">
        <f>INDEX(Cooper_pop_2030_2050!E:E, MATCH(About!$B$1, Cooper_pop_2030_2050!B:B, 0))+0.6*(INDEX(Cooper_pop_2030_2050!F:F, MATCH(About!$B$1, Cooper_pop_2030_2050!B:B, 0))-INDEX(Cooper_pop_2030_2050!E:E, MATCH(About!$B$1, Cooper_pop_2030_2050!B:B, 0)))</f>
        <v>1159629.7270569766</v>
      </c>
      <c r="Y13" s="37">
        <f>INDEX(Cooper_pop_2030_2050!E:E, MATCH(About!$B$1, Cooper_pop_2030_2050!B:B, 0))+0.7*(INDEX(Cooper_pop_2030_2050!F:F, MATCH(About!$B$1, Cooper_pop_2030_2050!B:B, 0))-INDEX(Cooper_pop_2030_2050!E:E, MATCH(About!$B$1, Cooper_pop_2030_2050!B:B, 0)))</f>
        <v>1164990.8835560868</v>
      </c>
      <c r="Z13" s="37">
        <f>INDEX(Cooper_pop_2030_2050!E:E, MATCH(About!$B$1, Cooper_pop_2030_2050!B:B, 0))+0.8*(INDEX(Cooper_pop_2030_2050!F:F, MATCH(About!$B$1, Cooper_pop_2030_2050!B:B, 0))-INDEX(Cooper_pop_2030_2050!E:E, MATCH(About!$B$1, Cooper_pop_2030_2050!B:B, 0)))</f>
        <v>1170352.0400551967</v>
      </c>
      <c r="AA13" s="37">
        <f>INDEX(Cooper_pop_2030_2050!E:E, MATCH(About!$B$1, Cooper_pop_2030_2050!B:B, 0))+0.9*(INDEX(Cooper_pop_2030_2050!F:F, MATCH(About!$B$1, Cooper_pop_2030_2050!B:B, 0))-INDEX(Cooper_pop_2030_2050!E:E, MATCH(About!$B$1, Cooper_pop_2030_2050!B:B, 0)))</f>
        <v>1175713.1965543069</v>
      </c>
      <c r="AB13" s="37">
        <f>INDEX(Cooper_pop_2030_2050!F:F, MATCH(About!$B$1, Cooper_pop_2030_2050!B:B, 0))</f>
        <v>1181074.3530534171</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3.1208875235254666E-3</v>
      </c>
      <c r="C15" s="39">
        <f t="shared" si="1"/>
        <v>3.1358018195213502E-3</v>
      </c>
      <c r="D15" s="39">
        <f t="shared" si="1"/>
        <v>3.1241691910738208E-3</v>
      </c>
      <c r="E15" s="39">
        <f t="shared" si="1"/>
        <v>3.1129977601150544E-3</v>
      </c>
      <c r="F15" s="39">
        <f t="shared" si="1"/>
        <v>3.1023125349699146E-3</v>
      </c>
      <c r="G15" s="39">
        <f t="shared" si="1"/>
        <v>3.0921223516823361E-3</v>
      </c>
      <c r="H15" s="39">
        <f t="shared" si="1"/>
        <v>3.0824527975166628E-3</v>
      </c>
      <c r="I15" s="39">
        <f t="shared" si="1"/>
        <v>3.089606256745986E-3</v>
      </c>
      <c r="J15" s="39">
        <f t="shared" si="1"/>
        <v>3.0972410326993061E-3</v>
      </c>
      <c r="K15" s="39">
        <f t="shared" si="1"/>
        <v>3.1052603749217207E-3</v>
      </c>
      <c r="L15" s="39">
        <f t="shared" si="1"/>
        <v>3.1136795036813621E-3</v>
      </c>
      <c r="M15" s="39">
        <f t="shared" si="1"/>
        <v>3.1225118198711576E-3</v>
      </c>
      <c r="N15" s="39">
        <f t="shared" si="1"/>
        <v>3.1317680519572211E-3</v>
      </c>
      <c r="O15" s="39">
        <f t="shared" si="1"/>
        <v>3.1414593196544918E-3</v>
      </c>
      <c r="P15" s="39">
        <f t="shared" si="1"/>
        <v>3.1515930432513923E-3</v>
      </c>
      <c r="Q15" s="39">
        <f t="shared" si="1"/>
        <v>3.1621703993271735E-3</v>
      </c>
      <c r="R15" s="39">
        <f t="shared" si="1"/>
        <v>3.1731889463103981E-3</v>
      </c>
      <c r="S15" s="39">
        <f t="shared" si="1"/>
        <v>3.1817899375886222E-3</v>
      </c>
      <c r="T15" s="39">
        <f t="shared" si="1"/>
        <v>3.1908263496476757E-3</v>
      </c>
      <c r="U15" s="39">
        <f t="shared" si="1"/>
        <v>3.2002757940117776E-3</v>
      </c>
      <c r="V15" s="39">
        <f t="shared" si="1"/>
        <v>3.2101048308548767E-3</v>
      </c>
      <c r="W15" s="39">
        <f t="shared" si="1"/>
        <v>3.2202742385162033E-3</v>
      </c>
      <c r="X15" s="39">
        <f t="shared" si="1"/>
        <v>3.2307428827507839E-3</v>
      </c>
      <c r="Y15" s="39">
        <f t="shared" si="1"/>
        <v>3.2414853368763282E-3</v>
      </c>
      <c r="Z15" s="39">
        <f t="shared" si="1"/>
        <v>3.2524617072461383E-3</v>
      </c>
      <c r="AA15" s="39">
        <f t="shared" si="1"/>
        <v>3.2636307952087552E-3</v>
      </c>
      <c r="AB15" s="39">
        <f t="shared" si="1"/>
        <v>3.2749514727761246E-3</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28.641764848105545</v>
      </c>
      <c r="C48" s="37">
        <f t="shared" si="10"/>
        <v>28.561523431760655</v>
      </c>
      <c r="D48" s="37">
        <f t="shared" si="10"/>
        <v>28.23621335464318</v>
      </c>
      <c r="E48" s="37">
        <f t="shared" si="10"/>
        <v>27.916672720887441</v>
      </c>
      <c r="F48" s="37">
        <f t="shared" si="10"/>
        <v>27.596976255734866</v>
      </c>
      <c r="G48" s="37">
        <f t="shared" si="10"/>
        <v>27.277159167674167</v>
      </c>
      <c r="H48" s="37">
        <f t="shared" si="10"/>
        <v>26.957394783825947</v>
      </c>
      <c r="I48" s="37">
        <f t="shared" si="10"/>
        <v>26.79398516744795</v>
      </c>
      <c r="J48" s="37">
        <f t="shared" si="10"/>
        <v>26.612525454846502</v>
      </c>
      <c r="K48" s="37">
        <f t="shared" si="10"/>
        <v>26.436146478083785</v>
      </c>
      <c r="L48" s="37">
        <f t="shared" si="10"/>
        <v>26.243654116052625</v>
      </c>
      <c r="M48" s="37">
        <f t="shared" si="10"/>
        <v>26.056225696229852</v>
      </c>
      <c r="N48" s="37">
        <f t="shared" si="10"/>
        <v>25.87692578238093</v>
      </c>
      <c r="O48" s="37">
        <f t="shared" si="10"/>
        <v>25.662906403197031</v>
      </c>
      <c r="P48" s="37">
        <f t="shared" si="10"/>
        <v>25.459865660442606</v>
      </c>
      <c r="Q48" s="37">
        <f t="shared" si="10"/>
        <v>25.240028276042651</v>
      </c>
      <c r="R48" s="37">
        <f t="shared" si="10"/>
        <v>25.018533046564958</v>
      </c>
      <c r="S48" s="37">
        <f t="shared" si="10"/>
        <v>24.766755220918125</v>
      </c>
      <c r="T48" s="37">
        <f t="shared" si="10"/>
        <v>24.516595102186933</v>
      </c>
      <c r="U48" s="37">
        <f t="shared" si="10"/>
        <v>24.267751712191473</v>
      </c>
      <c r="V48" s="37">
        <f t="shared" si="10"/>
        <v>24.019850375327621</v>
      </c>
      <c r="W48" s="37">
        <f t="shared" si="10"/>
        <v>23.775627523996466</v>
      </c>
      <c r="X48" s="37">
        <f t="shared" si="10"/>
        <v>23.556765640287956</v>
      </c>
      <c r="Y48" s="37">
        <f t="shared" si="10"/>
        <v>23.337955863805419</v>
      </c>
      <c r="Z48" s="37">
        <f t="shared" si="10"/>
        <v>23.13469804635691</v>
      </c>
      <c r="AA48" s="37">
        <f t="shared" si="10"/>
        <v>22.934071629218572</v>
      </c>
      <c r="AB48" s="37">
        <f t="shared" si="10"/>
        <v>22.732580474220736</v>
      </c>
    </row>
    <row r="49" spans="1:28" x14ac:dyDescent="0.25">
      <c r="A49" s="4" t="s">
        <v>216</v>
      </c>
      <c r="B49" s="37">
        <f t="shared" ref="B49:AB49" si="11">B29*B15*$F$5</f>
        <v>23.990566292351748</v>
      </c>
      <c r="C49" s="37">
        <f t="shared" si="11"/>
        <v>23.973509011064191</v>
      </c>
      <c r="D49" s="37">
        <f t="shared" si="11"/>
        <v>23.753360086618528</v>
      </c>
      <c r="E49" s="37">
        <f t="shared" si="11"/>
        <v>23.534486515997884</v>
      </c>
      <c r="F49" s="37">
        <f t="shared" si="11"/>
        <v>23.313873056721707</v>
      </c>
      <c r="G49" s="37">
        <f t="shared" si="11"/>
        <v>23.097920765886641</v>
      </c>
      <c r="H49" s="37">
        <f t="shared" si="11"/>
        <v>22.883595020609761</v>
      </c>
      <c r="I49" s="37">
        <f t="shared" si="11"/>
        <v>22.778451433544777</v>
      </c>
      <c r="J49" s="37">
        <f t="shared" si="11"/>
        <v>22.685617392808751</v>
      </c>
      <c r="K49" s="37">
        <f t="shared" si="11"/>
        <v>22.575760224759083</v>
      </c>
      <c r="L49" s="37">
        <f t="shared" si="11"/>
        <v>22.474296380649108</v>
      </c>
      <c r="M49" s="37">
        <f t="shared" si="11"/>
        <v>22.355721393805453</v>
      </c>
      <c r="N49" s="37">
        <f t="shared" si="11"/>
        <v>22.22308432586016</v>
      </c>
      <c r="O49" s="37">
        <f t="shared" si="11"/>
        <v>22.108421424137532</v>
      </c>
      <c r="P49" s="37">
        <f t="shared" si="11"/>
        <v>21.963429847090623</v>
      </c>
      <c r="Q49" s="37">
        <f t="shared" si="11"/>
        <v>21.826587095437716</v>
      </c>
      <c r="R49" s="37">
        <f t="shared" si="11"/>
        <v>21.675098564923935</v>
      </c>
      <c r="S49" s="37">
        <f t="shared" si="11"/>
        <v>21.50568956126299</v>
      </c>
      <c r="T49" s="37">
        <f t="shared" si="11"/>
        <v>21.331421455026007</v>
      </c>
      <c r="U49" s="37">
        <f t="shared" si="11"/>
        <v>21.15855110890725</v>
      </c>
      <c r="V49" s="37">
        <f t="shared" si="11"/>
        <v>20.993345373431751</v>
      </c>
      <c r="W49" s="37">
        <f t="shared" si="11"/>
        <v>20.832230385038137</v>
      </c>
      <c r="X49" s="37">
        <f t="shared" si="11"/>
        <v>20.668282839039772</v>
      </c>
      <c r="Y49" s="37">
        <f t="shared" si="11"/>
        <v>20.517848262895157</v>
      </c>
      <c r="Z49" s="37">
        <f t="shared" si="11"/>
        <v>20.364094082126851</v>
      </c>
      <c r="AA49" s="37">
        <f t="shared" si="11"/>
        <v>20.220056372572934</v>
      </c>
      <c r="AB49" s="37">
        <f t="shared" si="11"/>
        <v>20.095612543357547</v>
      </c>
    </row>
    <row r="50" spans="1:28" x14ac:dyDescent="0.25">
      <c r="A50" s="4" t="s">
        <v>217</v>
      </c>
      <c r="B50" s="37">
        <f t="shared" ref="B50:AB50" si="12">B30*B15*$F$6</f>
        <v>27.399195643293869</v>
      </c>
      <c r="C50" s="37">
        <f t="shared" si="12"/>
        <v>27.348609167908922</v>
      </c>
      <c r="D50" s="37">
        <f t="shared" si="12"/>
        <v>27.069088457735152</v>
      </c>
      <c r="E50" s="37">
        <f t="shared" si="12"/>
        <v>26.78931879124168</v>
      </c>
      <c r="F50" s="37">
        <f t="shared" si="12"/>
        <v>26.51225508008919</v>
      </c>
      <c r="G50" s="37">
        <f t="shared" si="12"/>
        <v>26.240667585371174</v>
      </c>
      <c r="H50" s="37">
        <f t="shared" si="12"/>
        <v>25.963702674831772</v>
      </c>
      <c r="I50" s="37">
        <f t="shared" si="12"/>
        <v>25.831349736141068</v>
      </c>
      <c r="J50" s="37">
        <f t="shared" si="12"/>
        <v>25.68830741202656</v>
      </c>
      <c r="K50" s="37">
        <f t="shared" si="12"/>
        <v>25.536347187324502</v>
      </c>
      <c r="L50" s="37">
        <f t="shared" si="12"/>
        <v>25.372653263435001</v>
      </c>
      <c r="M50" s="37">
        <f t="shared" si="12"/>
        <v>25.197131588744025</v>
      </c>
      <c r="N50" s="37">
        <f t="shared" si="12"/>
        <v>25.009651601607679</v>
      </c>
      <c r="O50" s="37">
        <f t="shared" si="12"/>
        <v>24.801677884686988</v>
      </c>
      <c r="P50" s="37">
        <f t="shared" si="12"/>
        <v>24.584169530056588</v>
      </c>
      <c r="Q50" s="37">
        <f t="shared" si="12"/>
        <v>24.35408584496825</v>
      </c>
      <c r="R50" s="37">
        <f t="shared" si="12"/>
        <v>24.11113541392735</v>
      </c>
      <c r="S50" s="37">
        <f t="shared" si="12"/>
        <v>23.839287738743153</v>
      </c>
      <c r="T50" s="37">
        <f t="shared" si="12"/>
        <v>23.568833230474024</v>
      </c>
      <c r="U50" s="37">
        <f t="shared" si="12"/>
        <v>23.299470455035909</v>
      </c>
      <c r="V50" s="37">
        <f t="shared" si="12"/>
        <v>23.033687023090774</v>
      </c>
      <c r="W50" s="37">
        <f t="shared" si="12"/>
        <v>22.776847976787067</v>
      </c>
      <c r="X50" s="37">
        <f t="shared" si="12"/>
        <v>22.531520631023636</v>
      </c>
      <c r="Y50" s="37">
        <f t="shared" si="12"/>
        <v>22.29177963918583</v>
      </c>
      <c r="Z50" s="37">
        <f t="shared" si="12"/>
        <v>22.060228680160112</v>
      </c>
      <c r="AA50" s="37">
        <f t="shared" si="12"/>
        <v>21.842426850978853</v>
      </c>
      <c r="AB50" s="37">
        <f t="shared" si="12"/>
        <v>21.632366426603141</v>
      </c>
    </row>
    <row r="51" spans="1:28" x14ac:dyDescent="0.25">
      <c r="A51" s="4" t="s">
        <v>218</v>
      </c>
      <c r="B51" s="37">
        <f t="shared" ref="B51:AB51" si="13">B31*B15*$F$7</f>
        <v>25.843376237122023</v>
      </c>
      <c r="C51" s="37">
        <f t="shared" si="13"/>
        <v>25.617174633154587</v>
      </c>
      <c r="D51" s="37">
        <f t="shared" si="13"/>
        <v>25.179268638190827</v>
      </c>
      <c r="E51" s="37">
        <f t="shared" si="13"/>
        <v>24.736561435366816</v>
      </c>
      <c r="F51" s="37">
        <f t="shared" si="13"/>
        <v>24.289210728518597</v>
      </c>
      <c r="G51" s="37">
        <f t="shared" si="13"/>
        <v>23.848174773432138</v>
      </c>
      <c r="H51" s="37">
        <f t="shared" si="13"/>
        <v>23.397105173250814</v>
      </c>
      <c r="I51" s="37">
        <f t="shared" si="13"/>
        <v>23.079505671108034</v>
      </c>
      <c r="J51" s="37">
        <f t="shared" si="13"/>
        <v>22.763721561488129</v>
      </c>
      <c r="K51" s="37">
        <f t="shared" si="13"/>
        <v>22.448879596770695</v>
      </c>
      <c r="L51" s="37">
        <f t="shared" si="13"/>
        <v>22.14597248667355</v>
      </c>
      <c r="M51" s="37">
        <f t="shared" si="13"/>
        <v>21.860570649180438</v>
      </c>
      <c r="N51" s="37">
        <f t="shared" si="13"/>
        <v>21.57611939971731</v>
      </c>
      <c r="O51" s="37">
        <f t="shared" si="13"/>
        <v>21.309234877070402</v>
      </c>
      <c r="P51" s="37">
        <f t="shared" si="13"/>
        <v>21.04324603707531</v>
      </c>
      <c r="Q51" s="37">
        <f t="shared" si="13"/>
        <v>20.789214685820721</v>
      </c>
      <c r="R51" s="37">
        <f t="shared" si="13"/>
        <v>20.541483681715846</v>
      </c>
      <c r="S51" s="37">
        <f t="shared" si="13"/>
        <v>20.276123161995667</v>
      </c>
      <c r="T51" s="37">
        <f t="shared" si="13"/>
        <v>20.017406044404819</v>
      </c>
      <c r="U51" s="37">
        <f t="shared" si="13"/>
        <v>19.759447576576196</v>
      </c>
      <c r="V51" s="37">
        <f t="shared" si="13"/>
        <v>19.513286532339915</v>
      </c>
      <c r="W51" s="37">
        <f t="shared" si="13"/>
        <v>19.261582505970235</v>
      </c>
      <c r="X51" s="37">
        <f t="shared" si="13"/>
        <v>19.021096850616647</v>
      </c>
      <c r="Y51" s="37">
        <f t="shared" si="13"/>
        <v>18.79744705302183</v>
      </c>
      <c r="Z51" s="37">
        <f t="shared" si="13"/>
        <v>18.573231458432538</v>
      </c>
      <c r="AA51" s="37">
        <f t="shared" si="13"/>
        <v>18.359710592200848</v>
      </c>
      <c r="AB51" s="37">
        <f t="shared" si="13"/>
        <v>18.145131604386279</v>
      </c>
    </row>
    <row r="52" spans="1:28" x14ac:dyDescent="0.25">
      <c r="A52" s="4" t="s">
        <v>219</v>
      </c>
      <c r="B52" s="37">
        <f t="shared" ref="B52:AB52" si="14">B32*B15*$F$8</f>
        <v>1.9814011034603487</v>
      </c>
      <c r="C52" s="37">
        <f t="shared" si="14"/>
        <v>1.9978067782953128</v>
      </c>
      <c r="D52" s="37">
        <f t="shared" si="14"/>
        <v>1.9973067734093819</v>
      </c>
      <c r="E52" s="37">
        <f t="shared" si="14"/>
        <v>1.999346631197886</v>
      </c>
      <c r="F52" s="37">
        <f t="shared" si="14"/>
        <v>2.0016342917791392</v>
      </c>
      <c r="G52" s="37">
        <f t="shared" si="14"/>
        <v>2.0041797845132345</v>
      </c>
      <c r="H52" s="37">
        <f t="shared" si="14"/>
        <v>2.0070041498321509</v>
      </c>
      <c r="I52" s="37">
        <f t="shared" si="14"/>
        <v>2.020774662327641</v>
      </c>
      <c r="J52" s="37">
        <f t="shared" si="14"/>
        <v>2.0349036009554684</v>
      </c>
      <c r="K52" s="37">
        <f t="shared" si="14"/>
        <v>2.0539108851995849</v>
      </c>
      <c r="L52" s="37">
        <f t="shared" si="14"/>
        <v>2.0686634007854048</v>
      </c>
      <c r="M52" s="37">
        <f t="shared" si="14"/>
        <v>2.083741312895476</v>
      </c>
      <c r="N52" s="37">
        <f t="shared" si="14"/>
        <v>2.0991554686973375</v>
      </c>
      <c r="O52" s="37">
        <f t="shared" si="14"/>
        <v>2.1149171053332703</v>
      </c>
      <c r="P52" s="37">
        <f t="shared" si="14"/>
        <v>2.1287111691788576</v>
      </c>
      <c r="Q52" s="37">
        <f t="shared" si="14"/>
        <v>2.1451824158298831</v>
      </c>
      <c r="R52" s="37">
        <f t="shared" si="14"/>
        <v>2.1573369694281226</v>
      </c>
      <c r="S52" s="37">
        <f t="shared" si="14"/>
        <v>2.1702230350647334</v>
      </c>
      <c r="T52" s="37">
        <f t="shared" si="14"/>
        <v>2.1857979575482833</v>
      </c>
      <c r="U52" s="37">
        <f t="shared" si="14"/>
        <v>2.1969907058210834</v>
      </c>
      <c r="V52" s="37">
        <f t="shared" si="14"/>
        <v>2.2108395415022692</v>
      </c>
      <c r="W52" s="37">
        <f t="shared" si="14"/>
        <v>2.2249670341801506</v>
      </c>
      <c r="X52" s="37">
        <f t="shared" si="14"/>
        <v>2.2369646470672802</v>
      </c>
      <c r="Y52" s="37">
        <f t="shared" si="14"/>
        <v>2.2539635375120732</v>
      </c>
      <c r="Z52" s="37">
        <f t="shared" si="14"/>
        <v>2.2663925434786574</v>
      </c>
      <c r="AA52" s="37">
        <f t="shared" si="14"/>
        <v>2.278988498859198</v>
      </c>
      <c r="AB52" s="37">
        <f t="shared" si="14"/>
        <v>2.2917234760234773</v>
      </c>
    </row>
    <row r="53" spans="1:28" x14ac:dyDescent="0.25">
      <c r="A53" s="4" t="s">
        <v>220</v>
      </c>
      <c r="B53" s="37">
        <f t="shared" ref="B53:AB53" si="15">B33*B15*$F$9</f>
        <v>4.1346361479463374</v>
      </c>
      <c r="C53" s="37">
        <f t="shared" si="15"/>
        <v>4.1899728332935435</v>
      </c>
      <c r="D53" s="37">
        <f t="shared" si="15"/>
        <v>4.2016956654203064</v>
      </c>
      <c r="E53" s="37">
        <f t="shared" si="15"/>
        <v>4.2192734477716813</v>
      </c>
      <c r="F53" s="37">
        <f t="shared" si="15"/>
        <v>4.234573788940847</v>
      </c>
      <c r="G53" s="37">
        <f t="shared" si="15"/>
        <v>4.244952171888408</v>
      </c>
      <c r="H53" s="37">
        <f t="shared" si="15"/>
        <v>4.2666500787233455</v>
      </c>
      <c r="I53" s="37">
        <f t="shared" si="15"/>
        <v>4.3008196567238555</v>
      </c>
      <c r="J53" s="37">
        <f t="shared" si="15"/>
        <v>4.3384785003786783</v>
      </c>
      <c r="K53" s="37">
        <f t="shared" si="15"/>
        <v>4.3686823458987201</v>
      </c>
      <c r="L53" s="37">
        <f t="shared" si="15"/>
        <v>4.4022665117589312</v>
      </c>
      <c r="M53" s="37">
        <f t="shared" si="15"/>
        <v>4.4283798398750349</v>
      </c>
      <c r="N53" s="37">
        <f t="shared" si="15"/>
        <v>4.4606397738422103</v>
      </c>
      <c r="O53" s="37">
        <f t="shared" si="15"/>
        <v>4.4881517057544258</v>
      </c>
      <c r="P53" s="37">
        <f t="shared" si="15"/>
        <v>4.5108812033755035</v>
      </c>
      <c r="Q53" s="37">
        <f t="shared" si="15"/>
        <v>4.5287803621889324</v>
      </c>
      <c r="R53" s="37">
        <f t="shared" si="15"/>
        <v>4.5473302311647146</v>
      </c>
      <c r="S53" s="37">
        <f t="shared" si="15"/>
        <v>4.5596558595213015</v>
      </c>
      <c r="T53" s="37">
        <f t="shared" si="15"/>
        <v>4.5614663545273952</v>
      </c>
      <c r="U53" s="37">
        <f t="shared" si="15"/>
        <v>4.5693888186644482</v>
      </c>
      <c r="V53" s="37">
        <f t="shared" si="15"/>
        <v>4.5722164123123505</v>
      </c>
      <c r="W53" s="37">
        <f t="shared" si="15"/>
        <v>4.5754589887373207</v>
      </c>
      <c r="X53" s="37">
        <f t="shared" si="15"/>
        <v>4.5846939120311436</v>
      </c>
      <c r="Y53" s="37">
        <f t="shared" si="15"/>
        <v>4.5857933995314042</v>
      </c>
      <c r="Z53" s="37">
        <f t="shared" si="15"/>
        <v>4.5956447478293736</v>
      </c>
      <c r="AA53" s="37">
        <f t="shared" si="15"/>
        <v>4.5971847933028434</v>
      </c>
      <c r="AB53" s="37">
        <f t="shared" si="15"/>
        <v>4.6074148236773009</v>
      </c>
    </row>
    <row r="54" spans="1:28" x14ac:dyDescent="0.25">
      <c r="A54" s="4" t="s">
        <v>221</v>
      </c>
      <c r="B54" s="37">
        <f t="shared" ref="B54:AB54" si="16">B34*B15*$F$10</f>
        <v>7.1719903967722445</v>
      </c>
      <c r="C54" s="37">
        <f t="shared" si="16"/>
        <v>7.2362826453446214</v>
      </c>
      <c r="D54" s="37">
        <f t="shared" si="16"/>
        <v>7.2430840912025367</v>
      </c>
      <c r="E54" s="37">
        <f t="shared" si="16"/>
        <v>7.2525716929201582</v>
      </c>
      <c r="F54" s="37">
        <f t="shared" si="16"/>
        <v>7.2685119025059901</v>
      </c>
      <c r="G54" s="37">
        <f t="shared" si="16"/>
        <v>7.2779371509015842</v>
      </c>
      <c r="H54" s="37">
        <f t="shared" si="16"/>
        <v>7.2865297047603166</v>
      </c>
      <c r="I54" s="37">
        <f t="shared" si="16"/>
        <v>7.3330156454199811</v>
      </c>
      <c r="J54" s="37">
        <f t="shared" si="16"/>
        <v>7.3770793860279591</v>
      </c>
      <c r="K54" s="37">
        <f t="shared" si="16"/>
        <v>7.4184744770732642</v>
      </c>
      <c r="L54" s="37">
        <f t="shared" si="16"/>
        <v>7.4553539591819797</v>
      </c>
      <c r="M54" s="37">
        <f t="shared" si="16"/>
        <v>7.4877110912489773</v>
      </c>
      <c r="N54" s="37">
        <f t="shared" si="16"/>
        <v>7.5155285097234126</v>
      </c>
      <c r="O54" s="37">
        <f t="shared" si="16"/>
        <v>7.5387853401993095</v>
      </c>
      <c r="P54" s="37">
        <f t="shared" si="16"/>
        <v>7.5517904201447328</v>
      </c>
      <c r="Q54" s="37">
        <f t="shared" si="16"/>
        <v>7.5601084188271539</v>
      </c>
      <c r="R54" s="37">
        <f t="shared" si="16"/>
        <v>7.5579738601735276</v>
      </c>
      <c r="S54" s="37">
        <f t="shared" si="16"/>
        <v>7.5499050373154759</v>
      </c>
      <c r="T54" s="37">
        <f t="shared" si="16"/>
        <v>7.5350748604544124</v>
      </c>
      <c r="U54" s="37">
        <f t="shared" si="16"/>
        <v>7.5133510410158033</v>
      </c>
      <c r="V54" s="37">
        <f t="shared" si="16"/>
        <v>7.4922531101823653</v>
      </c>
      <c r="W54" s="37">
        <f t="shared" si="16"/>
        <v>7.4620409833263253</v>
      </c>
      <c r="X54" s="37">
        <f t="shared" si="16"/>
        <v>7.4418412428188816</v>
      </c>
      <c r="Y54" s="37">
        <f t="shared" si="16"/>
        <v>7.4200409529604485</v>
      </c>
      <c r="Z54" s="37">
        <f t="shared" si="16"/>
        <v>7.3984642539601637</v>
      </c>
      <c r="AA54" s="37">
        <f t="shared" si="16"/>
        <v>7.3789605677145937</v>
      </c>
      <c r="AB54" s="37">
        <f t="shared" si="16"/>
        <v>7.3634089336780448</v>
      </c>
    </row>
    <row r="55" spans="1:28" x14ac:dyDescent="0.25">
      <c r="A55" s="4" t="s">
        <v>222</v>
      </c>
      <c r="B55" s="37">
        <f t="shared" ref="B55:AB55" si="17">B35*B15*$F$11</f>
        <v>44.776375642495587</v>
      </c>
      <c r="C55" s="37">
        <f t="shared" si="17"/>
        <v>44.549881189266962</v>
      </c>
      <c r="D55" s="37">
        <f t="shared" si="17"/>
        <v>43.935492142867858</v>
      </c>
      <c r="E55" s="37">
        <f t="shared" si="17"/>
        <v>43.324034872982971</v>
      </c>
      <c r="F55" s="37">
        <f t="shared" si="17"/>
        <v>42.698703049582811</v>
      </c>
      <c r="G55" s="37">
        <f t="shared" si="17"/>
        <v>42.09017848288012</v>
      </c>
      <c r="H55" s="37">
        <f t="shared" si="17"/>
        <v>41.484982992688302</v>
      </c>
      <c r="I55" s="37">
        <f t="shared" si="17"/>
        <v>41.103194940123132</v>
      </c>
      <c r="J55" s="37">
        <f t="shared" si="17"/>
        <v>40.718724177092774</v>
      </c>
      <c r="K55" s="37">
        <f t="shared" si="17"/>
        <v>40.326629585017848</v>
      </c>
      <c r="L55" s="37">
        <f t="shared" si="17"/>
        <v>39.933676148310695</v>
      </c>
      <c r="M55" s="37">
        <f t="shared" si="17"/>
        <v>39.536385742090914</v>
      </c>
      <c r="N55" s="37">
        <f t="shared" si="17"/>
        <v>39.141505154599727</v>
      </c>
      <c r="O55" s="37">
        <f t="shared" si="17"/>
        <v>38.73517393192428</v>
      </c>
      <c r="P55" s="37">
        <f t="shared" si="17"/>
        <v>38.327511151618545</v>
      </c>
      <c r="Q55" s="37">
        <f t="shared" si="17"/>
        <v>37.918273236997592</v>
      </c>
      <c r="R55" s="37">
        <f t="shared" si="17"/>
        <v>37.510652362341311</v>
      </c>
      <c r="S55" s="37">
        <f t="shared" si="17"/>
        <v>37.060641037517833</v>
      </c>
      <c r="T55" s="37">
        <f t="shared" si="17"/>
        <v>36.619646444533828</v>
      </c>
      <c r="U55" s="37">
        <f t="shared" si="17"/>
        <v>36.194275223313753</v>
      </c>
      <c r="V55" s="37">
        <f t="shared" si="17"/>
        <v>35.777026864731702</v>
      </c>
      <c r="W55" s="37">
        <f t="shared" si="17"/>
        <v>35.385017411744187</v>
      </c>
      <c r="X55" s="37">
        <f t="shared" si="17"/>
        <v>35.000148149011636</v>
      </c>
      <c r="Y55" s="37">
        <f t="shared" si="17"/>
        <v>34.632749074150475</v>
      </c>
      <c r="Z55" s="37">
        <f t="shared" si="17"/>
        <v>34.278884695446095</v>
      </c>
      <c r="AA55" s="37">
        <f t="shared" si="17"/>
        <v>33.934587997683835</v>
      </c>
      <c r="AB55" s="37">
        <f t="shared" si="17"/>
        <v>33.603059403576147</v>
      </c>
    </row>
    <row r="57" spans="1:28" x14ac:dyDescent="0.25">
      <c r="A57" s="4" t="s">
        <v>327</v>
      </c>
    </row>
    <row r="58" spans="1:28" x14ac:dyDescent="0.25">
      <c r="A58" s="4" t="s">
        <v>215</v>
      </c>
      <c r="B58" s="37">
        <f t="shared" ref="B58:AB58" si="18">B38*B15*$F$4</f>
        <v>4541.833393889292</v>
      </c>
      <c r="C58" s="37">
        <f t="shared" si="18"/>
        <v>4646.6632383889064</v>
      </c>
      <c r="D58" s="37">
        <f t="shared" si="18"/>
        <v>4711.5570773063482</v>
      </c>
      <c r="E58" s="37">
        <f t="shared" si="18"/>
        <v>4776.2130210891337</v>
      </c>
      <c r="F58" s="37">
        <f t="shared" si="18"/>
        <v>4841.0457221000652</v>
      </c>
      <c r="G58" s="37">
        <f t="shared" si="18"/>
        <v>4906.2008361572443</v>
      </c>
      <c r="H58" s="37">
        <f t="shared" si="18"/>
        <v>4971.3457947724373</v>
      </c>
      <c r="I58" s="37">
        <f t="shared" si="18"/>
        <v>5062.8610376370007</v>
      </c>
      <c r="J58" s="37">
        <f t="shared" si="18"/>
        <v>5154.0346058007126</v>
      </c>
      <c r="K58" s="37">
        <f t="shared" si="18"/>
        <v>5244.7709668917623</v>
      </c>
      <c r="L58" s="37">
        <f t="shared" si="18"/>
        <v>5334.6185936983957</v>
      </c>
      <c r="M58" s="37">
        <f t="shared" si="18"/>
        <v>5423.4768581399558</v>
      </c>
      <c r="N58" s="37">
        <f t="shared" si="18"/>
        <v>5510.7773566998712</v>
      </c>
      <c r="O58" s="37">
        <f t="shared" si="18"/>
        <v>5596.2934871014722</v>
      </c>
      <c r="P58" s="37">
        <f t="shared" si="18"/>
        <v>5679.2834276278663</v>
      </c>
      <c r="Q58" s="37">
        <f t="shared" si="18"/>
        <v>5759.6017657776047</v>
      </c>
      <c r="R58" s="37">
        <f t="shared" si="18"/>
        <v>5836.339480181442</v>
      </c>
      <c r="S58" s="37">
        <f t="shared" si="18"/>
        <v>5904.211998512159</v>
      </c>
      <c r="T58" s="37">
        <f t="shared" si="18"/>
        <v>5968.0935089019695</v>
      </c>
      <c r="U58" s="37">
        <f t="shared" si="18"/>
        <v>6028.2549570508763</v>
      </c>
      <c r="V58" s="37">
        <f t="shared" si="18"/>
        <v>6083.1922381534796</v>
      </c>
      <c r="W58" s="37">
        <f t="shared" si="18"/>
        <v>6133.1949175380687</v>
      </c>
      <c r="X58" s="37">
        <f t="shared" si="18"/>
        <v>6177.8555184389943</v>
      </c>
      <c r="Y58" s="37">
        <f t="shared" si="18"/>
        <v>6219.6584883743299</v>
      </c>
      <c r="Z58" s="37">
        <f t="shared" si="18"/>
        <v>6256.2769996203997</v>
      </c>
      <c r="AA58" s="37">
        <f t="shared" si="18"/>
        <v>6288.022130426416</v>
      </c>
      <c r="AB58" s="37">
        <f t="shared" si="18"/>
        <v>6315.3938153662266</v>
      </c>
    </row>
    <row r="59" spans="1:28" x14ac:dyDescent="0.25">
      <c r="A59" s="4" t="s">
        <v>216</v>
      </c>
      <c r="B59" s="37">
        <f t="shared" ref="B59:AB59" si="19">B39*B15*$F$5</f>
        <v>4483.2626521799193</v>
      </c>
      <c r="C59" s="37">
        <f t="shared" si="19"/>
        <v>4574.8605806946543</v>
      </c>
      <c r="D59" s="37">
        <f t="shared" si="19"/>
        <v>4627.4566625224643</v>
      </c>
      <c r="E59" s="37">
        <f t="shared" si="19"/>
        <v>4682.2690051829031</v>
      </c>
      <c r="F59" s="37">
        <f t="shared" si="19"/>
        <v>4740.6040485252461</v>
      </c>
      <c r="G59" s="37">
        <f t="shared" si="19"/>
        <v>4802.6887071807359</v>
      </c>
      <c r="H59" s="37">
        <f t="shared" si="19"/>
        <v>4868.9419125788736</v>
      </c>
      <c r="I59" s="37">
        <f t="shared" si="19"/>
        <v>4965.0314340906534</v>
      </c>
      <c r="J59" s="37">
        <f t="shared" si="19"/>
        <v>5065.3081077387651</v>
      </c>
      <c r="K59" s="37">
        <f t="shared" si="19"/>
        <v>5168.513059443002</v>
      </c>
      <c r="L59" s="37">
        <f t="shared" si="19"/>
        <v>5274.5668089077508</v>
      </c>
      <c r="M59" s="37">
        <f t="shared" si="19"/>
        <v>5383.1739056617598</v>
      </c>
      <c r="N59" s="37">
        <f t="shared" si="19"/>
        <v>5493.2050946709123</v>
      </c>
      <c r="O59" s="37">
        <f t="shared" si="19"/>
        <v>5603.5708875422342</v>
      </c>
      <c r="P59" s="37">
        <f t="shared" si="19"/>
        <v>5714.0269587857592</v>
      </c>
      <c r="Q59" s="37">
        <f t="shared" si="19"/>
        <v>5822.9920119693043</v>
      </c>
      <c r="R59" s="37">
        <f t="shared" si="19"/>
        <v>5930.002059707911</v>
      </c>
      <c r="S59" s="37">
        <f t="shared" si="19"/>
        <v>6028.545431781431</v>
      </c>
      <c r="T59" s="37">
        <f t="shared" si="19"/>
        <v>6123.4385052890366</v>
      </c>
      <c r="U59" s="37">
        <f t="shared" si="19"/>
        <v>6214.0704146128783</v>
      </c>
      <c r="V59" s="37">
        <f t="shared" si="19"/>
        <v>6298.9769876922019</v>
      </c>
      <c r="W59" s="37">
        <f t="shared" si="19"/>
        <v>6376.8133472612644</v>
      </c>
      <c r="X59" s="37">
        <f t="shared" si="19"/>
        <v>6447.8290929062441</v>
      </c>
      <c r="Y59" s="37">
        <f t="shared" si="19"/>
        <v>6514.9497761551147</v>
      </c>
      <c r="Z59" s="37">
        <f t="shared" si="19"/>
        <v>6575.3034315707109</v>
      </c>
      <c r="AA59" s="37">
        <f t="shared" si="19"/>
        <v>6627.7787557154452</v>
      </c>
      <c r="AB59" s="37">
        <f t="shared" si="19"/>
        <v>6672.3807878309717</v>
      </c>
    </row>
    <row r="60" spans="1:28" x14ac:dyDescent="0.25">
      <c r="A60" s="4" t="s">
        <v>217</v>
      </c>
      <c r="B60" s="37">
        <f t="shared" ref="B60:AB60" si="20">B40*B15*$F$6</f>
        <v>6515.4553481622379</v>
      </c>
      <c r="C60" s="37">
        <f t="shared" si="20"/>
        <v>6656.1286838006736</v>
      </c>
      <c r="D60" s="37">
        <f t="shared" si="20"/>
        <v>6739.2709523165468</v>
      </c>
      <c r="E60" s="37">
        <f t="shared" si="20"/>
        <v>6823.1726822430019</v>
      </c>
      <c r="F60" s="37">
        <f t="shared" si="20"/>
        <v>6909.2301583857243</v>
      </c>
      <c r="G60" s="37">
        <f t="shared" si="20"/>
        <v>6997.4654599441101</v>
      </c>
      <c r="H60" s="37">
        <f t="shared" si="20"/>
        <v>7088.1292624385733</v>
      </c>
      <c r="I60" s="37">
        <f t="shared" si="20"/>
        <v>7218.5497721478778</v>
      </c>
      <c r="J60" s="37">
        <f t="shared" si="20"/>
        <v>7351.0706448181827</v>
      </c>
      <c r="K60" s="37">
        <f t="shared" si="20"/>
        <v>7484.4091146289902</v>
      </c>
      <c r="L60" s="37">
        <f t="shared" si="20"/>
        <v>7618.1765774085516</v>
      </c>
      <c r="M60" s="37">
        <f t="shared" si="20"/>
        <v>7752.0820415742965</v>
      </c>
      <c r="N60" s="37">
        <f t="shared" si="20"/>
        <v>7884.7173043485354</v>
      </c>
      <c r="O60" s="37">
        <f t="shared" si="20"/>
        <v>8015.2839989509685</v>
      </c>
      <c r="P60" s="37">
        <f t="shared" si="20"/>
        <v>8142.7237801607926</v>
      </c>
      <c r="Q60" s="37">
        <f t="shared" si="20"/>
        <v>8265.9028994091714</v>
      </c>
      <c r="R60" s="37">
        <f t="shared" si="20"/>
        <v>8383.7119456993296</v>
      </c>
      <c r="S60" s="37">
        <f t="shared" si="20"/>
        <v>8487.752701142439</v>
      </c>
      <c r="T60" s="37">
        <f t="shared" si="20"/>
        <v>8584.9688167452841</v>
      </c>
      <c r="U60" s="37">
        <f t="shared" si="20"/>
        <v>8675.2578521570376</v>
      </c>
      <c r="V60" s="37">
        <f t="shared" si="20"/>
        <v>8756.2059491573309</v>
      </c>
      <c r="W60" s="37">
        <f t="shared" si="20"/>
        <v>8827.0266195992881</v>
      </c>
      <c r="X60" s="37">
        <f t="shared" si="20"/>
        <v>8887.7713711505021</v>
      </c>
      <c r="Y60" s="37">
        <f t="shared" si="20"/>
        <v>8942.8574977608514</v>
      </c>
      <c r="Z60" s="37">
        <f t="shared" si="20"/>
        <v>8988.1789056909347</v>
      </c>
      <c r="AA60" s="37">
        <f t="shared" si="20"/>
        <v>9023.0411356517852</v>
      </c>
      <c r="AB60" s="37">
        <f t="shared" si="20"/>
        <v>9048.0719369138824</v>
      </c>
    </row>
    <row r="61" spans="1:28" x14ac:dyDescent="0.25">
      <c r="A61" s="4" t="s">
        <v>218</v>
      </c>
      <c r="B61" s="37">
        <f t="shared" ref="B61:AB61" si="21">B41*B15*$F$7</f>
        <v>1997.9946180894615</v>
      </c>
      <c r="C61" s="37">
        <f t="shared" si="21"/>
        <v>2037.8282018036211</v>
      </c>
      <c r="D61" s="37">
        <f t="shared" si="21"/>
        <v>2060.3753658947785</v>
      </c>
      <c r="E61" s="37">
        <f t="shared" si="21"/>
        <v>2083.0895886570884</v>
      </c>
      <c r="F61" s="37">
        <f t="shared" si="21"/>
        <v>2106.6538238370767</v>
      </c>
      <c r="G61" s="37">
        <f t="shared" si="21"/>
        <v>2131.1247868282248</v>
      </c>
      <c r="H61" s="37">
        <f t="shared" si="21"/>
        <v>2156.4513815161258</v>
      </c>
      <c r="I61" s="37">
        <f t="shared" si="21"/>
        <v>2194.2867362191832</v>
      </c>
      <c r="J61" s="37">
        <f t="shared" si="21"/>
        <v>2233.2186753177743</v>
      </c>
      <c r="K61" s="37">
        <f t="shared" si="21"/>
        <v>2273.1194595813336</v>
      </c>
      <c r="L61" s="37">
        <f t="shared" si="21"/>
        <v>2314.0060987842398</v>
      </c>
      <c r="M61" s="37">
        <f t="shared" si="21"/>
        <v>2355.7735811716684</v>
      </c>
      <c r="N61" s="37">
        <f t="shared" si="21"/>
        <v>2398.5471211719146</v>
      </c>
      <c r="O61" s="37">
        <f t="shared" si="21"/>
        <v>2441.7313571614291</v>
      </c>
      <c r="P61" s="37">
        <f t="shared" si="21"/>
        <v>2485.6023362520364</v>
      </c>
      <c r="Q61" s="37">
        <f t="shared" si="21"/>
        <v>2529.6623174177516</v>
      </c>
      <c r="R61" s="37">
        <f t="shared" si="21"/>
        <v>2573.8529606472193</v>
      </c>
      <c r="S61" s="37">
        <f t="shared" si="21"/>
        <v>2615.8395458983623</v>
      </c>
      <c r="T61" s="37">
        <f t="shared" si="21"/>
        <v>2657.4066726833271</v>
      </c>
      <c r="U61" s="37">
        <f t="shared" si="21"/>
        <v>2698.5865039909881</v>
      </c>
      <c r="V61" s="37">
        <f t="shared" si="21"/>
        <v>2739.0540052526726</v>
      </c>
      <c r="W61" s="37">
        <f t="shared" si="21"/>
        <v>2778.2851882967766</v>
      </c>
      <c r="X61" s="37">
        <f t="shared" si="21"/>
        <v>2816.0716730605973</v>
      </c>
      <c r="Y61" s="37">
        <f t="shared" si="21"/>
        <v>2853.1035967205016</v>
      </c>
      <c r="Z61" s="37">
        <f t="shared" si="21"/>
        <v>2888.5750508658757</v>
      </c>
      <c r="AA61" s="37">
        <f t="shared" si="21"/>
        <v>2922.4349525810253</v>
      </c>
      <c r="AB61" s="37">
        <f t="shared" si="21"/>
        <v>2954.352066526305</v>
      </c>
    </row>
    <row r="62" spans="1:28" x14ac:dyDescent="0.25">
      <c r="A62" s="4" t="s">
        <v>219</v>
      </c>
      <c r="B62" s="37">
        <f t="shared" ref="B62:AB62" si="22">B42*B15*$F$8</f>
        <v>280.41773363525425</v>
      </c>
      <c r="C62" s="37">
        <f t="shared" si="22"/>
        <v>288.39173264183796</v>
      </c>
      <c r="D62" s="37">
        <f t="shared" si="22"/>
        <v>294.13164269361368</v>
      </c>
      <c r="E62" s="37">
        <f t="shared" si="22"/>
        <v>300.29451853035437</v>
      </c>
      <c r="F62" s="37">
        <f t="shared" si="22"/>
        <v>306.96605982315327</v>
      </c>
      <c r="G62" s="37">
        <f t="shared" si="22"/>
        <v>314.1386507293463</v>
      </c>
      <c r="H62" s="37">
        <f t="shared" si="22"/>
        <v>321.83209353021948</v>
      </c>
      <c r="I62" s="37">
        <f t="shared" si="22"/>
        <v>331.79661899293728</v>
      </c>
      <c r="J62" s="37">
        <f t="shared" si="22"/>
        <v>342.20181363946529</v>
      </c>
      <c r="K62" s="37">
        <f t="shared" si="22"/>
        <v>352.98416303299621</v>
      </c>
      <c r="L62" s="37">
        <f t="shared" si="22"/>
        <v>364.23858811409428</v>
      </c>
      <c r="M62" s="37">
        <f t="shared" si="22"/>
        <v>375.90002541657742</v>
      </c>
      <c r="N62" s="37">
        <f t="shared" si="22"/>
        <v>387.92577805682464</v>
      </c>
      <c r="O62" s="37">
        <f t="shared" si="22"/>
        <v>400.25211596847731</v>
      </c>
      <c r="P62" s="37">
        <f t="shared" si="22"/>
        <v>412.84679903470879</v>
      </c>
      <c r="Q62" s="37">
        <f t="shared" si="22"/>
        <v>425.63450366087244</v>
      </c>
      <c r="R62" s="37">
        <f t="shared" si="22"/>
        <v>438.57818244320805</v>
      </c>
      <c r="S62" s="37">
        <f t="shared" si="22"/>
        <v>451.19992683175036</v>
      </c>
      <c r="T62" s="37">
        <f t="shared" si="22"/>
        <v>463.89267697108136</v>
      </c>
      <c r="U62" s="37">
        <f t="shared" si="22"/>
        <v>476.55583789231412</v>
      </c>
      <c r="V62" s="37">
        <f t="shared" si="22"/>
        <v>489.20387460579821</v>
      </c>
      <c r="W62" s="37">
        <f t="shared" si="22"/>
        <v>501.80249042805355</v>
      </c>
      <c r="X62" s="37">
        <f t="shared" si="22"/>
        <v>514.39228376289179</v>
      </c>
      <c r="Y62" s="37">
        <f t="shared" si="22"/>
        <v>526.93747570445294</v>
      </c>
      <c r="Z62" s="37">
        <f t="shared" si="22"/>
        <v>539.45178962666444</v>
      </c>
      <c r="AA62" s="37">
        <f t="shared" si="22"/>
        <v>551.92673418253719</v>
      </c>
      <c r="AB62" s="37">
        <f t="shared" si="22"/>
        <v>564.31939807278218</v>
      </c>
    </row>
    <row r="63" spans="1:28" x14ac:dyDescent="0.25">
      <c r="A63" s="4" t="s">
        <v>220</v>
      </c>
      <c r="B63" s="37">
        <f t="shared" ref="B63:AB63" si="23">B43*B15*$F$9</f>
        <v>182.30803774077216</v>
      </c>
      <c r="C63" s="37">
        <f t="shared" si="23"/>
        <v>187.22966129595767</v>
      </c>
      <c r="D63" s="37">
        <f t="shared" si="23"/>
        <v>190.7286265358961</v>
      </c>
      <c r="E63" s="37">
        <f t="shared" si="23"/>
        <v>194.57561222312447</v>
      </c>
      <c r="F63" s="37">
        <f t="shared" si="23"/>
        <v>198.44826461663644</v>
      </c>
      <c r="G63" s="37">
        <f t="shared" si="23"/>
        <v>202.62967500216971</v>
      </c>
      <c r="H63" s="37">
        <f t="shared" si="23"/>
        <v>206.93521901359216</v>
      </c>
      <c r="I63" s="37">
        <f t="shared" si="23"/>
        <v>212.4443124102209</v>
      </c>
      <c r="J63" s="37">
        <f t="shared" si="23"/>
        <v>218.09436812838189</v>
      </c>
      <c r="K63" s="37">
        <f t="shared" si="23"/>
        <v>224.12261868702123</v>
      </c>
      <c r="L63" s="37">
        <f t="shared" si="23"/>
        <v>230.31734457044954</v>
      </c>
      <c r="M63" s="37">
        <f t="shared" si="23"/>
        <v>236.75072428860526</v>
      </c>
      <c r="N63" s="37">
        <f t="shared" si="23"/>
        <v>243.32079325168817</v>
      </c>
      <c r="O63" s="37">
        <f t="shared" si="23"/>
        <v>250.04789973623403</v>
      </c>
      <c r="P63" s="37">
        <f t="shared" si="23"/>
        <v>256.99920495036196</v>
      </c>
      <c r="Q63" s="37">
        <f t="shared" si="23"/>
        <v>264.14297746851133</v>
      </c>
      <c r="R63" s="37">
        <f t="shared" si="23"/>
        <v>271.43019688592256</v>
      </c>
      <c r="S63" s="37">
        <f t="shared" si="23"/>
        <v>278.53054913371807</v>
      </c>
      <c r="T63" s="37">
        <f t="shared" si="23"/>
        <v>285.75999387657424</v>
      </c>
      <c r="U63" s="37">
        <f t="shared" si="23"/>
        <v>293.04417778378604</v>
      </c>
      <c r="V63" s="37">
        <f t="shared" si="23"/>
        <v>300.29824313905402</v>
      </c>
      <c r="W63" s="37">
        <f t="shared" si="23"/>
        <v>307.70523794957347</v>
      </c>
      <c r="X63" s="37">
        <f t="shared" si="23"/>
        <v>315.11734742600771</v>
      </c>
      <c r="Y63" s="37">
        <f t="shared" si="23"/>
        <v>322.62372046228279</v>
      </c>
      <c r="Z63" s="37">
        <f t="shared" si="23"/>
        <v>330.10013796777372</v>
      </c>
      <c r="AA63" s="37">
        <f t="shared" si="23"/>
        <v>337.59400894759983</v>
      </c>
      <c r="AB63" s="37">
        <f t="shared" si="23"/>
        <v>345.1559640863963</v>
      </c>
    </row>
    <row r="64" spans="1:28" x14ac:dyDescent="0.25">
      <c r="A64" s="4" t="s">
        <v>221</v>
      </c>
      <c r="B64" s="37">
        <f t="shared" ref="B64:AB64" si="24">B44*B15*$F$10</f>
        <v>466.97294411058857</v>
      </c>
      <c r="C64" s="37">
        <f t="shared" si="24"/>
        <v>485.75024719303354</v>
      </c>
      <c r="D64" s="37">
        <f t="shared" si="24"/>
        <v>500.74851581442221</v>
      </c>
      <c r="E64" s="37">
        <f t="shared" si="24"/>
        <v>516.08733967078035</v>
      </c>
      <c r="F64" s="37">
        <f t="shared" si="24"/>
        <v>531.77257189889258</v>
      </c>
      <c r="G64" s="37">
        <f t="shared" si="24"/>
        <v>547.86919664885579</v>
      </c>
      <c r="H64" s="37">
        <f t="shared" si="24"/>
        <v>564.55574784888199</v>
      </c>
      <c r="I64" s="37">
        <f t="shared" si="24"/>
        <v>584.9184458404219</v>
      </c>
      <c r="J64" s="37">
        <f t="shared" si="24"/>
        <v>605.91005006929868</v>
      </c>
      <c r="K64" s="37">
        <f t="shared" si="24"/>
        <v>627.6776271300397</v>
      </c>
      <c r="L64" s="37">
        <f t="shared" si="24"/>
        <v>650.33712055035255</v>
      </c>
      <c r="M64" s="37">
        <f t="shared" si="24"/>
        <v>673.73893832703538</v>
      </c>
      <c r="N64" s="37">
        <f t="shared" si="24"/>
        <v>698.06724605834108</v>
      </c>
      <c r="O64" s="37">
        <f t="shared" si="24"/>
        <v>723.21592019793854</v>
      </c>
      <c r="P64" s="37">
        <f t="shared" si="24"/>
        <v>749.16212235637545</v>
      </c>
      <c r="Q64" s="37">
        <f t="shared" si="24"/>
        <v>775.94788455478761</v>
      </c>
      <c r="R64" s="37">
        <f t="shared" si="24"/>
        <v>803.42534136278698</v>
      </c>
      <c r="S64" s="37">
        <f t="shared" si="24"/>
        <v>830.85505631528349</v>
      </c>
      <c r="T64" s="37">
        <f t="shared" si="24"/>
        <v>858.92980779462118</v>
      </c>
      <c r="U64" s="37">
        <f t="shared" si="24"/>
        <v>887.59788192648625</v>
      </c>
      <c r="V64" s="37">
        <f t="shared" si="24"/>
        <v>916.74563735236541</v>
      </c>
      <c r="W64" s="37">
        <f t="shared" si="24"/>
        <v>946.24960653242317</v>
      </c>
      <c r="X64" s="37">
        <f t="shared" si="24"/>
        <v>976.22653307031294</v>
      </c>
      <c r="Y64" s="37">
        <f t="shared" si="24"/>
        <v>1006.482204255291</v>
      </c>
      <c r="Z64" s="37">
        <f t="shared" si="24"/>
        <v>1037.0031540559955</v>
      </c>
      <c r="AA64" s="37">
        <f t="shared" si="24"/>
        <v>1067.5553670881272</v>
      </c>
      <c r="AB64" s="37">
        <f t="shared" si="24"/>
        <v>1098.1060756014156</v>
      </c>
    </row>
    <row r="65" spans="1:28" x14ac:dyDescent="0.25">
      <c r="A65" s="4" t="s">
        <v>222</v>
      </c>
      <c r="B65" s="37">
        <f t="shared" ref="B65:AB65" si="25">B45*B15*$F$11</f>
        <v>9057.2189557420825</v>
      </c>
      <c r="C65" s="37">
        <f t="shared" si="25"/>
        <v>9238.8697103286104</v>
      </c>
      <c r="D65" s="37">
        <f t="shared" si="25"/>
        <v>9340.7301993277324</v>
      </c>
      <c r="E65" s="37">
        <f t="shared" si="25"/>
        <v>9444.0725159052326</v>
      </c>
      <c r="F65" s="37">
        <f t="shared" si="25"/>
        <v>9550.752071288387</v>
      </c>
      <c r="G65" s="37">
        <f t="shared" si="25"/>
        <v>9661.0566649467237</v>
      </c>
      <c r="H65" s="37">
        <f t="shared" si="25"/>
        <v>9774.7333671493561</v>
      </c>
      <c r="I65" s="37">
        <f t="shared" si="25"/>
        <v>9943.3046399224677</v>
      </c>
      <c r="J65" s="37">
        <f t="shared" si="25"/>
        <v>10114.823390287609</v>
      </c>
      <c r="K65" s="37">
        <f t="shared" si="25"/>
        <v>10287.563790207911</v>
      </c>
      <c r="L65" s="37">
        <f t="shared" si="25"/>
        <v>10460.719920121146</v>
      </c>
      <c r="M65" s="37">
        <f t="shared" si="25"/>
        <v>10634.136419015824</v>
      </c>
      <c r="N65" s="37">
        <f t="shared" si="25"/>
        <v>10805.626135274289</v>
      </c>
      <c r="O65" s="37">
        <f t="shared" si="25"/>
        <v>10973.961599982778</v>
      </c>
      <c r="P65" s="37">
        <f t="shared" si="25"/>
        <v>11138.088180686136</v>
      </c>
      <c r="Q65" s="37">
        <f t="shared" si="25"/>
        <v>11296.071175386325</v>
      </c>
      <c r="R65" s="37">
        <f t="shared" si="25"/>
        <v>11446.661808214734</v>
      </c>
      <c r="S65" s="37">
        <f t="shared" si="25"/>
        <v>11578.29384980394</v>
      </c>
      <c r="T65" s="37">
        <f t="shared" si="25"/>
        <v>11700.341204569791</v>
      </c>
      <c r="U65" s="37">
        <f t="shared" si="25"/>
        <v>11812.549233926356</v>
      </c>
      <c r="V65" s="37">
        <f t="shared" si="25"/>
        <v>11911.865275871703</v>
      </c>
      <c r="W65" s="37">
        <f t="shared" si="25"/>
        <v>11997.400941457045</v>
      </c>
      <c r="X65" s="37">
        <f t="shared" si="25"/>
        <v>12068.750942926357</v>
      </c>
      <c r="Y65" s="37">
        <f t="shared" si="25"/>
        <v>12132.201316200699</v>
      </c>
      <c r="Z65" s="37">
        <f t="shared" si="25"/>
        <v>12182.081725517693</v>
      </c>
      <c r="AA65" s="37">
        <f t="shared" si="25"/>
        <v>12217.980974055363</v>
      </c>
      <c r="AB65" s="37">
        <f t="shared" si="25"/>
        <v>12240.52714942409</v>
      </c>
    </row>
    <row r="67" spans="1:28" x14ac:dyDescent="0.25">
      <c r="A67" s="4" t="s">
        <v>328</v>
      </c>
    </row>
    <row r="68" spans="1:28" x14ac:dyDescent="0.25">
      <c r="A68" s="4" t="s">
        <v>329</v>
      </c>
      <c r="B68" s="40">
        <f t="shared" ref="B68:AB68" si="26">B48+B49</f>
        <v>52.632331140457296</v>
      </c>
      <c r="C68" s="40">
        <f t="shared" si="26"/>
        <v>52.535032442824843</v>
      </c>
      <c r="D68" s="40">
        <f t="shared" si="26"/>
        <v>51.989573441261712</v>
      </c>
      <c r="E68" s="40">
        <f t="shared" si="26"/>
        <v>51.451159236885324</v>
      </c>
      <c r="F68" s="40">
        <f t="shared" si="26"/>
        <v>50.910849312456577</v>
      </c>
      <c r="G68" s="40">
        <f t="shared" si="26"/>
        <v>50.375079933560812</v>
      </c>
      <c r="H68" s="40">
        <f t="shared" si="26"/>
        <v>49.840989804435708</v>
      </c>
      <c r="I68" s="40">
        <f t="shared" si="26"/>
        <v>49.572436600992731</v>
      </c>
      <c r="J68" s="40">
        <f t="shared" si="26"/>
        <v>49.298142847655257</v>
      </c>
      <c r="K68" s="40">
        <f t="shared" si="26"/>
        <v>49.011906702842865</v>
      </c>
      <c r="L68" s="40">
        <f t="shared" si="26"/>
        <v>48.717950496701732</v>
      </c>
      <c r="M68" s="40">
        <f t="shared" si="26"/>
        <v>48.411947090035305</v>
      </c>
      <c r="N68" s="40">
        <f t="shared" si="26"/>
        <v>48.100010108241094</v>
      </c>
      <c r="O68" s="40">
        <f t="shared" si="26"/>
        <v>47.771327827334559</v>
      </c>
      <c r="P68" s="40">
        <f t="shared" si="26"/>
        <v>47.423295507533226</v>
      </c>
      <c r="Q68" s="40">
        <f t="shared" si="26"/>
        <v>47.066615371480367</v>
      </c>
      <c r="R68" s="40">
        <f t="shared" si="26"/>
        <v>46.693631611488897</v>
      </c>
      <c r="S68" s="40">
        <f t="shared" si="26"/>
        <v>46.272444782181111</v>
      </c>
      <c r="T68" s="40">
        <f t="shared" si="26"/>
        <v>45.848016557212944</v>
      </c>
      <c r="U68" s="40">
        <f t="shared" si="26"/>
        <v>45.426302821098723</v>
      </c>
      <c r="V68" s="40">
        <f t="shared" si="26"/>
        <v>45.013195748759372</v>
      </c>
      <c r="W68" s="40">
        <f t="shared" si="26"/>
        <v>44.607857909034607</v>
      </c>
      <c r="X68" s="40">
        <f t="shared" si="26"/>
        <v>44.225048479327725</v>
      </c>
      <c r="Y68" s="40">
        <f t="shared" si="26"/>
        <v>43.855804126700576</v>
      </c>
      <c r="Z68" s="40">
        <f t="shared" si="26"/>
        <v>43.498792128483757</v>
      </c>
      <c r="AA68" s="40">
        <f t="shared" si="26"/>
        <v>43.154128001791506</v>
      </c>
      <c r="AB68" s="40">
        <f t="shared" si="26"/>
        <v>42.828193017578286</v>
      </c>
    </row>
    <row r="69" spans="1:28" x14ac:dyDescent="0.25">
      <c r="A69" s="4" t="s">
        <v>330</v>
      </c>
      <c r="B69" s="40">
        <f t="shared" ref="B69:AB69" si="27">B50+B51+B52+B53</f>
        <v>59.358609131822583</v>
      </c>
      <c r="C69" s="40">
        <f t="shared" si="27"/>
        <v>59.153563412652368</v>
      </c>
      <c r="D69" s="40">
        <f t="shared" si="27"/>
        <v>58.447359534755677</v>
      </c>
      <c r="E69" s="40">
        <f t="shared" si="27"/>
        <v>57.744500305578065</v>
      </c>
      <c r="F69" s="40">
        <f t="shared" si="27"/>
        <v>57.037673889327777</v>
      </c>
      <c r="G69" s="40">
        <f t="shared" si="27"/>
        <v>56.337974315204953</v>
      </c>
      <c r="H69" s="40">
        <f t="shared" si="27"/>
        <v>55.63446207663808</v>
      </c>
      <c r="I69" s="40">
        <f t="shared" si="27"/>
        <v>55.232449726300594</v>
      </c>
      <c r="J69" s="40">
        <f t="shared" si="27"/>
        <v>54.82541107484883</v>
      </c>
      <c r="K69" s="40">
        <f t="shared" si="27"/>
        <v>54.407820015193501</v>
      </c>
      <c r="L69" s="40">
        <f t="shared" si="27"/>
        <v>53.98955566265289</v>
      </c>
      <c r="M69" s="40">
        <f t="shared" si="27"/>
        <v>53.569823390694971</v>
      </c>
      <c r="N69" s="40">
        <f t="shared" si="27"/>
        <v>53.145566243864536</v>
      </c>
      <c r="O69" s="40">
        <f t="shared" si="27"/>
        <v>52.713981572845086</v>
      </c>
      <c r="P69" s="40">
        <f t="shared" si="27"/>
        <v>52.267007939686259</v>
      </c>
      <c r="Q69" s="40">
        <f t="shared" si="27"/>
        <v>51.817263308807789</v>
      </c>
      <c r="R69" s="40">
        <f t="shared" si="27"/>
        <v>51.357286296236033</v>
      </c>
      <c r="S69" s="40">
        <f t="shared" si="27"/>
        <v>50.845289795324859</v>
      </c>
      <c r="T69" s="40">
        <f t="shared" si="27"/>
        <v>50.333503586954521</v>
      </c>
      <c r="U69" s="40">
        <f t="shared" si="27"/>
        <v>49.825297556097645</v>
      </c>
      <c r="V69" s="40">
        <f t="shared" si="27"/>
        <v>49.330029509245307</v>
      </c>
      <c r="W69" s="40">
        <f t="shared" si="27"/>
        <v>48.838856505674784</v>
      </c>
      <c r="X69" s="40">
        <f t="shared" si="27"/>
        <v>48.374276040738707</v>
      </c>
      <c r="Y69" s="40">
        <f t="shared" si="27"/>
        <v>47.928983629251135</v>
      </c>
      <c r="Z69" s="40">
        <f t="shared" si="27"/>
        <v>47.495497429900688</v>
      </c>
      <c r="AA69" s="40">
        <f t="shared" si="27"/>
        <v>47.078310735341745</v>
      </c>
      <c r="AB69" s="40">
        <f t="shared" si="27"/>
        <v>46.676636330690201</v>
      </c>
    </row>
    <row r="70" spans="1:28" x14ac:dyDescent="0.25">
      <c r="A70" s="4" t="s">
        <v>331</v>
      </c>
      <c r="B70" s="40">
        <f t="shared" ref="B70:AB70" si="28">B54+B55</f>
        <v>51.948366039267832</v>
      </c>
      <c r="C70" s="40">
        <f t="shared" si="28"/>
        <v>51.786163834611585</v>
      </c>
      <c r="D70" s="40">
        <f t="shared" si="28"/>
        <v>51.178576234070391</v>
      </c>
      <c r="E70" s="40">
        <f t="shared" si="28"/>
        <v>50.576606565903127</v>
      </c>
      <c r="F70" s="40">
        <f t="shared" si="28"/>
        <v>49.967214952088803</v>
      </c>
      <c r="G70" s="40">
        <f t="shared" si="28"/>
        <v>49.368115633781706</v>
      </c>
      <c r="H70" s="40">
        <f t="shared" si="28"/>
        <v>48.771512697448621</v>
      </c>
      <c r="I70" s="40">
        <f t="shared" si="28"/>
        <v>48.436210585543115</v>
      </c>
      <c r="J70" s="40">
        <f t="shared" si="28"/>
        <v>48.095803563120732</v>
      </c>
      <c r="K70" s="40">
        <f t="shared" si="28"/>
        <v>47.745104062091116</v>
      </c>
      <c r="L70" s="40">
        <f t="shared" si="28"/>
        <v>47.389030107492673</v>
      </c>
      <c r="M70" s="40">
        <f t="shared" si="28"/>
        <v>47.02409683333989</v>
      </c>
      <c r="N70" s="40">
        <f t="shared" si="28"/>
        <v>46.657033664323137</v>
      </c>
      <c r="O70" s="40">
        <f t="shared" si="28"/>
        <v>46.273959272123591</v>
      </c>
      <c r="P70" s="40">
        <f t="shared" si="28"/>
        <v>45.879301571763278</v>
      </c>
      <c r="Q70" s="40">
        <f t="shared" si="28"/>
        <v>45.478381655824748</v>
      </c>
      <c r="R70" s="40">
        <f t="shared" si="28"/>
        <v>45.068626222514837</v>
      </c>
      <c r="S70" s="40">
        <f t="shared" si="28"/>
        <v>44.610546074833309</v>
      </c>
      <c r="T70" s="40">
        <f t="shared" si="28"/>
        <v>44.154721304988243</v>
      </c>
      <c r="U70" s="40">
        <f t="shared" si="28"/>
        <v>43.707626264329555</v>
      </c>
      <c r="V70" s="40">
        <f t="shared" si="28"/>
        <v>43.26927997491407</v>
      </c>
      <c r="W70" s="40">
        <f t="shared" si="28"/>
        <v>42.847058395070512</v>
      </c>
      <c r="X70" s="40">
        <f t="shared" si="28"/>
        <v>42.441989391830518</v>
      </c>
      <c r="Y70" s="40">
        <f t="shared" si="28"/>
        <v>42.052790027110923</v>
      </c>
      <c r="Z70" s="40">
        <f t="shared" si="28"/>
        <v>41.677348949406259</v>
      </c>
      <c r="AA70" s="40">
        <f t="shared" si="28"/>
        <v>41.313548565398428</v>
      </c>
      <c r="AB70" s="40">
        <f t="shared" si="28"/>
        <v>40.966468337254192</v>
      </c>
    </row>
    <row r="71" spans="1:28" x14ac:dyDescent="0.25">
      <c r="A71" s="4" t="s">
        <v>332</v>
      </c>
      <c r="B71" s="40">
        <f t="shared" ref="B71:AB71" si="29">B58+B59</f>
        <v>9025.0960460692113</v>
      </c>
      <c r="C71" s="40">
        <f t="shared" si="29"/>
        <v>9221.5238190835607</v>
      </c>
      <c r="D71" s="40">
        <f t="shared" si="29"/>
        <v>9339.0137398288134</v>
      </c>
      <c r="E71" s="40">
        <f t="shared" si="29"/>
        <v>9458.4820262720368</v>
      </c>
      <c r="F71" s="40">
        <f t="shared" si="29"/>
        <v>9581.6497706253103</v>
      </c>
      <c r="G71" s="40">
        <f t="shared" si="29"/>
        <v>9708.8895433379803</v>
      </c>
      <c r="H71" s="40">
        <f t="shared" si="29"/>
        <v>9840.2877073513118</v>
      </c>
      <c r="I71" s="40">
        <f t="shared" si="29"/>
        <v>10027.892471727653</v>
      </c>
      <c r="J71" s="40">
        <f t="shared" si="29"/>
        <v>10219.342713539478</v>
      </c>
      <c r="K71" s="40">
        <f t="shared" si="29"/>
        <v>10413.284026334764</v>
      </c>
      <c r="L71" s="40">
        <f t="shared" si="29"/>
        <v>10609.185402606146</v>
      </c>
      <c r="M71" s="40">
        <f t="shared" si="29"/>
        <v>10806.650763801716</v>
      </c>
      <c r="N71" s="40">
        <f t="shared" si="29"/>
        <v>11003.982451370783</v>
      </c>
      <c r="O71" s="40">
        <f t="shared" si="29"/>
        <v>11199.864374643706</v>
      </c>
      <c r="P71" s="40">
        <f t="shared" si="29"/>
        <v>11393.310386413625</v>
      </c>
      <c r="Q71" s="40">
        <f t="shared" si="29"/>
        <v>11582.593777746908</v>
      </c>
      <c r="R71" s="40">
        <f t="shared" si="29"/>
        <v>11766.341539889352</v>
      </c>
      <c r="S71" s="40">
        <f t="shared" si="29"/>
        <v>11932.75743029359</v>
      </c>
      <c r="T71" s="40">
        <f t="shared" si="29"/>
        <v>12091.532014191005</v>
      </c>
      <c r="U71" s="40">
        <f t="shared" si="29"/>
        <v>12242.325371663756</v>
      </c>
      <c r="V71" s="40">
        <f t="shared" si="29"/>
        <v>12382.169225845682</v>
      </c>
      <c r="W71" s="40">
        <f t="shared" si="29"/>
        <v>12510.008264799333</v>
      </c>
      <c r="X71" s="40">
        <f t="shared" si="29"/>
        <v>12625.684611345237</v>
      </c>
      <c r="Y71" s="40">
        <f t="shared" si="29"/>
        <v>12734.608264529445</v>
      </c>
      <c r="Z71" s="40">
        <f t="shared" si="29"/>
        <v>12831.580431191111</v>
      </c>
      <c r="AA71" s="40">
        <f t="shared" si="29"/>
        <v>12915.80088614186</v>
      </c>
      <c r="AB71" s="40">
        <f t="shared" si="29"/>
        <v>12987.774603197198</v>
      </c>
    </row>
    <row r="72" spans="1:28" x14ac:dyDescent="0.25">
      <c r="A72" s="4" t="s">
        <v>333</v>
      </c>
      <c r="B72" s="40">
        <f t="shared" ref="B72:AB72" si="30">B60+B61+B62+B63</f>
        <v>8976.1757376277255</v>
      </c>
      <c r="C72" s="40">
        <f t="shared" si="30"/>
        <v>9169.578279542091</v>
      </c>
      <c r="D72" s="40">
        <f t="shared" si="30"/>
        <v>9284.5065874408356</v>
      </c>
      <c r="E72" s="40">
        <f t="shared" si="30"/>
        <v>9401.1324016535691</v>
      </c>
      <c r="F72" s="40">
        <f t="shared" si="30"/>
        <v>9521.2983066625893</v>
      </c>
      <c r="G72" s="40">
        <f t="shared" si="30"/>
        <v>9645.358572503852</v>
      </c>
      <c r="H72" s="40">
        <f t="shared" si="30"/>
        <v>9773.3479564985118</v>
      </c>
      <c r="I72" s="40">
        <f t="shared" si="30"/>
        <v>9957.0774397702207</v>
      </c>
      <c r="J72" s="40">
        <f t="shared" si="30"/>
        <v>10144.585501903804</v>
      </c>
      <c r="K72" s="40">
        <f t="shared" si="30"/>
        <v>10334.635355930341</v>
      </c>
      <c r="L72" s="40">
        <f t="shared" si="30"/>
        <v>10526.738608877335</v>
      </c>
      <c r="M72" s="40">
        <f t="shared" si="30"/>
        <v>10720.506372451147</v>
      </c>
      <c r="N72" s="40">
        <f t="shared" si="30"/>
        <v>10914.510996828963</v>
      </c>
      <c r="O72" s="40">
        <f t="shared" si="30"/>
        <v>11107.315371817107</v>
      </c>
      <c r="P72" s="40">
        <f t="shared" si="30"/>
        <v>11298.1721203979</v>
      </c>
      <c r="Q72" s="40">
        <f t="shared" si="30"/>
        <v>11485.342697956306</v>
      </c>
      <c r="R72" s="40">
        <f t="shared" si="30"/>
        <v>11667.57328567568</v>
      </c>
      <c r="S72" s="40">
        <f t="shared" si="30"/>
        <v>11833.322723006269</v>
      </c>
      <c r="T72" s="40">
        <f t="shared" si="30"/>
        <v>11992.028160276266</v>
      </c>
      <c r="U72" s="40">
        <f t="shared" si="30"/>
        <v>12143.444371824125</v>
      </c>
      <c r="V72" s="40">
        <f t="shared" si="30"/>
        <v>12284.762072154856</v>
      </c>
      <c r="W72" s="40">
        <f t="shared" si="30"/>
        <v>12414.819536273691</v>
      </c>
      <c r="X72" s="40">
        <f t="shared" si="30"/>
        <v>12533.352675399999</v>
      </c>
      <c r="Y72" s="40">
        <f t="shared" si="30"/>
        <v>12645.52229064809</v>
      </c>
      <c r="Z72" s="40">
        <f t="shared" si="30"/>
        <v>12746.30588415125</v>
      </c>
      <c r="AA72" s="40">
        <f t="shared" si="30"/>
        <v>12834.996831362947</v>
      </c>
      <c r="AB72" s="40">
        <f t="shared" si="30"/>
        <v>12911.899365599367</v>
      </c>
    </row>
    <row r="73" spans="1:28" x14ac:dyDescent="0.25">
      <c r="A73" s="4" t="s">
        <v>334</v>
      </c>
      <c r="B73" s="40">
        <f t="shared" ref="B73:AB73" si="31">B64+B65</f>
        <v>9524.1918998526708</v>
      </c>
      <c r="C73" s="40">
        <f t="shared" si="31"/>
        <v>9724.6199575216433</v>
      </c>
      <c r="D73" s="40">
        <f t="shared" si="31"/>
        <v>9841.4787151421551</v>
      </c>
      <c r="E73" s="40">
        <f t="shared" si="31"/>
        <v>9960.1598555760138</v>
      </c>
      <c r="F73" s="40">
        <f t="shared" si="31"/>
        <v>10082.52464318728</v>
      </c>
      <c r="G73" s="40">
        <f t="shared" si="31"/>
        <v>10208.925861595579</v>
      </c>
      <c r="H73" s="40">
        <f t="shared" si="31"/>
        <v>10339.289114998239</v>
      </c>
      <c r="I73" s="40">
        <f t="shared" si="31"/>
        <v>10528.223085762889</v>
      </c>
      <c r="J73" s="40">
        <f t="shared" si="31"/>
        <v>10720.733440356908</v>
      </c>
      <c r="K73" s="40">
        <f t="shared" si="31"/>
        <v>10915.241417337951</v>
      </c>
      <c r="L73" s="40">
        <f t="shared" si="31"/>
        <v>11111.057040671498</v>
      </c>
      <c r="M73" s="40">
        <f t="shared" si="31"/>
        <v>11307.875357342858</v>
      </c>
      <c r="N73" s="40">
        <f t="shared" si="31"/>
        <v>11503.69338133263</v>
      </c>
      <c r="O73" s="40">
        <f t="shared" si="31"/>
        <v>11697.177520180718</v>
      </c>
      <c r="P73" s="40">
        <f t="shared" si="31"/>
        <v>11887.250303042512</v>
      </c>
      <c r="Q73" s="40">
        <f t="shared" si="31"/>
        <v>12072.019059941113</v>
      </c>
      <c r="R73" s="40">
        <f t="shared" si="31"/>
        <v>12250.087149577521</v>
      </c>
      <c r="S73" s="40">
        <f t="shared" si="31"/>
        <v>12409.148906119224</v>
      </c>
      <c r="T73" s="40">
        <f t="shared" si="31"/>
        <v>12559.271012364412</v>
      </c>
      <c r="U73" s="40">
        <f t="shared" si="31"/>
        <v>12700.147115852842</v>
      </c>
      <c r="V73" s="40">
        <f t="shared" si="31"/>
        <v>12828.610913224069</v>
      </c>
      <c r="W73" s="40">
        <f t="shared" si="31"/>
        <v>12943.650547989468</v>
      </c>
      <c r="X73" s="40">
        <f t="shared" si="31"/>
        <v>13044.977475996669</v>
      </c>
      <c r="Y73" s="40">
        <f t="shared" si="31"/>
        <v>13138.68352045599</v>
      </c>
      <c r="Z73" s="40">
        <f t="shared" si="31"/>
        <v>13219.084879573689</v>
      </c>
      <c r="AA73" s="40">
        <f t="shared" si="31"/>
        <v>13285.53634114349</v>
      </c>
      <c r="AB73" s="40">
        <f t="shared" si="31"/>
        <v>13338.633225025505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28.641764848105545</v>
      </c>
      <c r="C2" s="37">
        <f>BDbDT_calcs!C48</f>
        <v>28.561523431760655</v>
      </c>
      <c r="D2" s="37">
        <f>BDbDT_calcs!D48</f>
        <v>28.23621335464318</v>
      </c>
      <c r="E2" s="37">
        <f>BDbDT_calcs!E48</f>
        <v>27.916672720887441</v>
      </c>
      <c r="F2" s="37">
        <f>BDbDT_calcs!F48</f>
        <v>27.596976255734866</v>
      </c>
      <c r="G2" s="37">
        <f>BDbDT_calcs!G48</f>
        <v>27.277159167674167</v>
      </c>
      <c r="H2" s="37">
        <f>BDbDT_calcs!H48</f>
        <v>26.957394783825947</v>
      </c>
      <c r="I2" s="37">
        <f>BDbDT_calcs!I48</f>
        <v>26.79398516744795</v>
      </c>
      <c r="J2" s="37">
        <f>BDbDT_calcs!J48</f>
        <v>26.612525454846502</v>
      </c>
      <c r="K2" s="37">
        <f>BDbDT_calcs!K48</f>
        <v>26.436146478083785</v>
      </c>
      <c r="L2" s="37">
        <f>BDbDT_calcs!L48</f>
        <v>26.243654116052625</v>
      </c>
      <c r="M2" s="37">
        <f>BDbDT_calcs!M48</f>
        <v>26.056225696229852</v>
      </c>
      <c r="N2" s="37">
        <f>BDbDT_calcs!N48</f>
        <v>25.87692578238093</v>
      </c>
      <c r="O2" s="37">
        <f>BDbDT_calcs!O48</f>
        <v>25.662906403197031</v>
      </c>
      <c r="P2" s="37">
        <f>BDbDT_calcs!P48</f>
        <v>25.459865660442606</v>
      </c>
      <c r="Q2" s="37">
        <f>BDbDT_calcs!Q48</f>
        <v>25.240028276042651</v>
      </c>
      <c r="R2" s="37">
        <f>BDbDT_calcs!R48</f>
        <v>25.018533046564958</v>
      </c>
      <c r="S2" s="37">
        <f>BDbDT_calcs!S48</f>
        <v>24.766755220918125</v>
      </c>
      <c r="T2" s="37">
        <f>BDbDT_calcs!T48</f>
        <v>24.516595102186933</v>
      </c>
      <c r="U2" s="37">
        <f>BDbDT_calcs!U48</f>
        <v>24.267751712191473</v>
      </c>
      <c r="V2" s="37">
        <f>BDbDT_calcs!V48</f>
        <v>24.019850375327621</v>
      </c>
      <c r="W2" s="37">
        <f>BDbDT_calcs!W48</f>
        <v>23.775627523996466</v>
      </c>
      <c r="X2" s="37">
        <f>BDbDT_calcs!X48</f>
        <v>23.556765640287956</v>
      </c>
      <c r="Y2" s="37">
        <f>BDbDT_calcs!Y48</f>
        <v>23.337955863805419</v>
      </c>
      <c r="Z2" s="37">
        <f>BDbDT_calcs!Z48</f>
        <v>23.13469804635691</v>
      </c>
      <c r="AA2" s="37">
        <f>BDbDT_calcs!AA48</f>
        <v>22.934071629218572</v>
      </c>
      <c r="AB2" s="37">
        <f>BDbDT_calcs!AB48</f>
        <v>22.732580474220736</v>
      </c>
    </row>
    <row r="3" spans="1:28" x14ac:dyDescent="0.25">
      <c r="A3" s="4" t="s">
        <v>216</v>
      </c>
      <c r="B3" s="37">
        <f>BDbDT_calcs!B49</f>
        <v>23.990566292351748</v>
      </c>
      <c r="C3" s="37">
        <f>BDbDT_calcs!C49</f>
        <v>23.973509011064191</v>
      </c>
      <c r="D3" s="37">
        <f>BDbDT_calcs!D49</f>
        <v>23.753360086618528</v>
      </c>
      <c r="E3" s="37">
        <f>BDbDT_calcs!E49</f>
        <v>23.534486515997884</v>
      </c>
      <c r="F3" s="37">
        <f>BDbDT_calcs!F49</f>
        <v>23.313873056721707</v>
      </c>
      <c r="G3" s="37">
        <f>BDbDT_calcs!G49</f>
        <v>23.097920765886641</v>
      </c>
      <c r="H3" s="37">
        <f>BDbDT_calcs!H49</f>
        <v>22.883595020609761</v>
      </c>
      <c r="I3" s="37">
        <f>BDbDT_calcs!I49</f>
        <v>22.778451433544777</v>
      </c>
      <c r="J3" s="37">
        <f>BDbDT_calcs!J49</f>
        <v>22.685617392808751</v>
      </c>
      <c r="K3" s="37">
        <f>BDbDT_calcs!K49</f>
        <v>22.575760224759083</v>
      </c>
      <c r="L3" s="37">
        <f>BDbDT_calcs!L49</f>
        <v>22.474296380649108</v>
      </c>
      <c r="M3" s="37">
        <f>BDbDT_calcs!M49</f>
        <v>22.355721393805453</v>
      </c>
      <c r="N3" s="37">
        <f>BDbDT_calcs!N49</f>
        <v>22.22308432586016</v>
      </c>
      <c r="O3" s="37">
        <f>BDbDT_calcs!O49</f>
        <v>22.108421424137532</v>
      </c>
      <c r="P3" s="37">
        <f>BDbDT_calcs!P49</f>
        <v>21.963429847090623</v>
      </c>
      <c r="Q3" s="37">
        <f>BDbDT_calcs!Q49</f>
        <v>21.826587095437716</v>
      </c>
      <c r="R3" s="37">
        <f>BDbDT_calcs!R49</f>
        <v>21.675098564923935</v>
      </c>
      <c r="S3" s="37">
        <f>BDbDT_calcs!S49</f>
        <v>21.50568956126299</v>
      </c>
      <c r="T3" s="37">
        <f>BDbDT_calcs!T49</f>
        <v>21.331421455026007</v>
      </c>
      <c r="U3" s="37">
        <f>BDbDT_calcs!U49</f>
        <v>21.15855110890725</v>
      </c>
      <c r="V3" s="37">
        <f>BDbDT_calcs!V49</f>
        <v>20.993345373431751</v>
      </c>
      <c r="W3" s="37">
        <f>BDbDT_calcs!W49</f>
        <v>20.832230385038137</v>
      </c>
      <c r="X3" s="37">
        <f>BDbDT_calcs!X49</f>
        <v>20.668282839039772</v>
      </c>
      <c r="Y3" s="37">
        <f>BDbDT_calcs!Y49</f>
        <v>20.517848262895157</v>
      </c>
      <c r="Z3" s="37">
        <f>BDbDT_calcs!Z49</f>
        <v>20.364094082126851</v>
      </c>
      <c r="AA3" s="37">
        <f>BDbDT_calcs!AA49</f>
        <v>20.220056372572934</v>
      </c>
      <c r="AB3" s="37">
        <f>BDbDT_calcs!AB49</f>
        <v>20.095612543357547</v>
      </c>
    </row>
    <row r="4" spans="1:28" x14ac:dyDescent="0.25">
      <c r="A4" s="4" t="s">
        <v>217</v>
      </c>
      <c r="B4" s="37">
        <f>BDbDT_calcs!B50</f>
        <v>27.399195643293869</v>
      </c>
      <c r="C4" s="37">
        <f>BDbDT_calcs!C50</f>
        <v>27.348609167908922</v>
      </c>
      <c r="D4" s="37">
        <f>BDbDT_calcs!D50</f>
        <v>27.069088457735152</v>
      </c>
      <c r="E4" s="37">
        <f>BDbDT_calcs!E50</f>
        <v>26.78931879124168</v>
      </c>
      <c r="F4" s="37">
        <f>BDbDT_calcs!F50</f>
        <v>26.51225508008919</v>
      </c>
      <c r="G4" s="37">
        <f>BDbDT_calcs!G50</f>
        <v>26.240667585371174</v>
      </c>
      <c r="H4" s="37">
        <f>BDbDT_calcs!H50</f>
        <v>25.963702674831772</v>
      </c>
      <c r="I4" s="37">
        <f>BDbDT_calcs!I50</f>
        <v>25.831349736141068</v>
      </c>
      <c r="J4" s="37">
        <f>BDbDT_calcs!J50</f>
        <v>25.68830741202656</v>
      </c>
      <c r="K4" s="37">
        <f>BDbDT_calcs!K50</f>
        <v>25.536347187324502</v>
      </c>
      <c r="L4" s="37">
        <f>BDbDT_calcs!L50</f>
        <v>25.372653263435001</v>
      </c>
      <c r="M4" s="37">
        <f>BDbDT_calcs!M50</f>
        <v>25.197131588744025</v>
      </c>
      <c r="N4" s="37">
        <f>BDbDT_calcs!N50</f>
        <v>25.009651601607679</v>
      </c>
      <c r="O4" s="37">
        <f>BDbDT_calcs!O50</f>
        <v>24.801677884686988</v>
      </c>
      <c r="P4" s="37">
        <f>BDbDT_calcs!P50</f>
        <v>24.584169530056588</v>
      </c>
      <c r="Q4" s="37">
        <f>BDbDT_calcs!Q50</f>
        <v>24.35408584496825</v>
      </c>
      <c r="R4" s="37">
        <f>BDbDT_calcs!R50</f>
        <v>24.11113541392735</v>
      </c>
      <c r="S4" s="37">
        <f>BDbDT_calcs!S50</f>
        <v>23.839287738743153</v>
      </c>
      <c r="T4" s="37">
        <f>BDbDT_calcs!T50</f>
        <v>23.568833230474024</v>
      </c>
      <c r="U4" s="37">
        <f>BDbDT_calcs!U50</f>
        <v>23.299470455035909</v>
      </c>
      <c r="V4" s="37">
        <f>BDbDT_calcs!V50</f>
        <v>23.033687023090774</v>
      </c>
      <c r="W4" s="37">
        <f>BDbDT_calcs!W50</f>
        <v>22.776847976787067</v>
      </c>
      <c r="X4" s="37">
        <f>BDbDT_calcs!X50</f>
        <v>22.531520631023636</v>
      </c>
      <c r="Y4" s="37">
        <f>BDbDT_calcs!Y50</f>
        <v>22.29177963918583</v>
      </c>
      <c r="Z4" s="37">
        <f>BDbDT_calcs!Z50</f>
        <v>22.060228680160112</v>
      </c>
      <c r="AA4" s="37">
        <f>BDbDT_calcs!AA50</f>
        <v>21.842426850978853</v>
      </c>
      <c r="AB4" s="37">
        <f>BDbDT_calcs!AB50</f>
        <v>21.632366426603141</v>
      </c>
    </row>
    <row r="5" spans="1:28" x14ac:dyDescent="0.25">
      <c r="A5" s="4" t="s">
        <v>218</v>
      </c>
      <c r="B5" s="37">
        <f>BDbDT_calcs!B51</f>
        <v>25.843376237122023</v>
      </c>
      <c r="C5" s="37">
        <f>BDbDT_calcs!C51</f>
        <v>25.617174633154587</v>
      </c>
      <c r="D5" s="37">
        <f>BDbDT_calcs!D51</f>
        <v>25.179268638190827</v>
      </c>
      <c r="E5" s="37">
        <f>BDbDT_calcs!E51</f>
        <v>24.736561435366816</v>
      </c>
      <c r="F5" s="37">
        <f>BDbDT_calcs!F51</f>
        <v>24.289210728518597</v>
      </c>
      <c r="G5" s="37">
        <f>BDbDT_calcs!G51</f>
        <v>23.848174773432138</v>
      </c>
      <c r="H5" s="37">
        <f>BDbDT_calcs!H51</f>
        <v>23.397105173250814</v>
      </c>
      <c r="I5" s="37">
        <f>BDbDT_calcs!I51</f>
        <v>23.079505671108034</v>
      </c>
      <c r="J5" s="37">
        <f>BDbDT_calcs!J51</f>
        <v>22.763721561488129</v>
      </c>
      <c r="K5" s="37">
        <f>BDbDT_calcs!K51</f>
        <v>22.448879596770695</v>
      </c>
      <c r="L5" s="37">
        <f>BDbDT_calcs!L51</f>
        <v>22.14597248667355</v>
      </c>
      <c r="M5" s="37">
        <f>BDbDT_calcs!M51</f>
        <v>21.860570649180438</v>
      </c>
      <c r="N5" s="37">
        <f>BDbDT_calcs!N51</f>
        <v>21.57611939971731</v>
      </c>
      <c r="O5" s="37">
        <f>BDbDT_calcs!O51</f>
        <v>21.309234877070402</v>
      </c>
      <c r="P5" s="37">
        <f>BDbDT_calcs!P51</f>
        <v>21.04324603707531</v>
      </c>
      <c r="Q5" s="37">
        <f>BDbDT_calcs!Q51</f>
        <v>20.789214685820721</v>
      </c>
      <c r="R5" s="37">
        <f>BDbDT_calcs!R51</f>
        <v>20.541483681715846</v>
      </c>
      <c r="S5" s="37">
        <f>BDbDT_calcs!S51</f>
        <v>20.276123161995667</v>
      </c>
      <c r="T5" s="37">
        <f>BDbDT_calcs!T51</f>
        <v>20.017406044404819</v>
      </c>
      <c r="U5" s="37">
        <f>BDbDT_calcs!U51</f>
        <v>19.759447576576196</v>
      </c>
      <c r="V5" s="37">
        <f>BDbDT_calcs!V51</f>
        <v>19.513286532339915</v>
      </c>
      <c r="W5" s="37">
        <f>BDbDT_calcs!W51</f>
        <v>19.261582505970235</v>
      </c>
      <c r="X5" s="37">
        <f>BDbDT_calcs!X51</f>
        <v>19.021096850616647</v>
      </c>
      <c r="Y5" s="37">
        <f>BDbDT_calcs!Y51</f>
        <v>18.79744705302183</v>
      </c>
      <c r="Z5" s="37">
        <f>BDbDT_calcs!Z51</f>
        <v>18.573231458432538</v>
      </c>
      <c r="AA5" s="37">
        <f>BDbDT_calcs!AA51</f>
        <v>18.359710592200848</v>
      </c>
      <c r="AB5" s="37">
        <f>BDbDT_calcs!AB51</f>
        <v>18.145131604386279</v>
      </c>
    </row>
    <row r="6" spans="1:28" x14ac:dyDescent="0.25">
      <c r="A6" s="4" t="s">
        <v>219</v>
      </c>
      <c r="B6" s="37">
        <f>BDbDT_calcs!B52</f>
        <v>1.9814011034603487</v>
      </c>
      <c r="C6" s="37">
        <f>BDbDT_calcs!C52</f>
        <v>1.9978067782953128</v>
      </c>
      <c r="D6" s="37">
        <f>BDbDT_calcs!D52</f>
        <v>1.9973067734093819</v>
      </c>
      <c r="E6" s="37">
        <f>BDbDT_calcs!E52</f>
        <v>1.999346631197886</v>
      </c>
      <c r="F6" s="37">
        <f>BDbDT_calcs!F52</f>
        <v>2.0016342917791392</v>
      </c>
      <c r="G6" s="37">
        <f>BDbDT_calcs!G52</f>
        <v>2.0041797845132345</v>
      </c>
      <c r="H6" s="37">
        <f>BDbDT_calcs!H52</f>
        <v>2.0070041498321509</v>
      </c>
      <c r="I6" s="37">
        <f>BDbDT_calcs!I52</f>
        <v>2.020774662327641</v>
      </c>
      <c r="J6" s="37">
        <f>BDbDT_calcs!J52</f>
        <v>2.0349036009554684</v>
      </c>
      <c r="K6" s="37">
        <f>BDbDT_calcs!K52</f>
        <v>2.0539108851995849</v>
      </c>
      <c r="L6" s="37">
        <f>BDbDT_calcs!L52</f>
        <v>2.0686634007854048</v>
      </c>
      <c r="M6" s="37">
        <f>BDbDT_calcs!M52</f>
        <v>2.083741312895476</v>
      </c>
      <c r="N6" s="37">
        <f>BDbDT_calcs!N52</f>
        <v>2.0991554686973375</v>
      </c>
      <c r="O6" s="37">
        <f>BDbDT_calcs!O52</f>
        <v>2.1149171053332703</v>
      </c>
      <c r="P6" s="37">
        <f>BDbDT_calcs!P52</f>
        <v>2.1287111691788576</v>
      </c>
      <c r="Q6" s="37">
        <f>BDbDT_calcs!Q52</f>
        <v>2.1451824158298831</v>
      </c>
      <c r="R6" s="37">
        <f>BDbDT_calcs!R52</f>
        <v>2.1573369694281226</v>
      </c>
      <c r="S6" s="37">
        <f>BDbDT_calcs!S52</f>
        <v>2.1702230350647334</v>
      </c>
      <c r="T6" s="37">
        <f>BDbDT_calcs!T52</f>
        <v>2.1857979575482833</v>
      </c>
      <c r="U6" s="37">
        <f>BDbDT_calcs!U52</f>
        <v>2.1969907058210834</v>
      </c>
      <c r="V6" s="37">
        <f>BDbDT_calcs!V52</f>
        <v>2.2108395415022692</v>
      </c>
      <c r="W6" s="37">
        <f>BDbDT_calcs!W52</f>
        <v>2.2249670341801506</v>
      </c>
      <c r="X6" s="37">
        <f>BDbDT_calcs!X52</f>
        <v>2.2369646470672802</v>
      </c>
      <c r="Y6" s="37">
        <f>BDbDT_calcs!Y52</f>
        <v>2.2539635375120732</v>
      </c>
      <c r="Z6" s="37">
        <f>BDbDT_calcs!Z52</f>
        <v>2.2663925434786574</v>
      </c>
      <c r="AA6" s="37">
        <f>BDbDT_calcs!AA52</f>
        <v>2.278988498859198</v>
      </c>
      <c r="AB6" s="37">
        <f>BDbDT_calcs!AB52</f>
        <v>2.2917234760234773</v>
      </c>
    </row>
    <row r="7" spans="1:28" x14ac:dyDescent="0.25">
      <c r="A7" s="4" t="s">
        <v>220</v>
      </c>
      <c r="B7" s="37">
        <f>BDbDT_calcs!B53</f>
        <v>4.1346361479463374</v>
      </c>
      <c r="C7" s="37">
        <f>BDbDT_calcs!C53</f>
        <v>4.1899728332935435</v>
      </c>
      <c r="D7" s="37">
        <f>BDbDT_calcs!D53</f>
        <v>4.2016956654203064</v>
      </c>
      <c r="E7" s="37">
        <f>BDbDT_calcs!E53</f>
        <v>4.2192734477716813</v>
      </c>
      <c r="F7" s="37">
        <f>BDbDT_calcs!F53</f>
        <v>4.234573788940847</v>
      </c>
      <c r="G7" s="37">
        <f>BDbDT_calcs!G53</f>
        <v>4.244952171888408</v>
      </c>
      <c r="H7" s="37">
        <f>BDbDT_calcs!H53</f>
        <v>4.2666500787233455</v>
      </c>
      <c r="I7" s="37">
        <f>BDbDT_calcs!I53</f>
        <v>4.3008196567238555</v>
      </c>
      <c r="J7" s="37">
        <f>BDbDT_calcs!J53</f>
        <v>4.3384785003786783</v>
      </c>
      <c r="K7" s="37">
        <f>BDbDT_calcs!K53</f>
        <v>4.3686823458987201</v>
      </c>
      <c r="L7" s="37">
        <f>BDbDT_calcs!L53</f>
        <v>4.4022665117589312</v>
      </c>
      <c r="M7" s="37">
        <f>BDbDT_calcs!M53</f>
        <v>4.4283798398750349</v>
      </c>
      <c r="N7" s="37">
        <f>BDbDT_calcs!N53</f>
        <v>4.4606397738422103</v>
      </c>
      <c r="O7" s="37">
        <f>BDbDT_calcs!O53</f>
        <v>4.4881517057544258</v>
      </c>
      <c r="P7" s="37">
        <f>BDbDT_calcs!P53</f>
        <v>4.5108812033755035</v>
      </c>
      <c r="Q7" s="37">
        <f>BDbDT_calcs!Q53</f>
        <v>4.5287803621889324</v>
      </c>
      <c r="R7" s="37">
        <f>BDbDT_calcs!R53</f>
        <v>4.5473302311647146</v>
      </c>
      <c r="S7" s="37">
        <f>BDbDT_calcs!S53</f>
        <v>4.5596558595213015</v>
      </c>
      <c r="T7" s="37">
        <f>BDbDT_calcs!T53</f>
        <v>4.5614663545273952</v>
      </c>
      <c r="U7" s="37">
        <f>BDbDT_calcs!U53</f>
        <v>4.5693888186644482</v>
      </c>
      <c r="V7" s="37">
        <f>BDbDT_calcs!V53</f>
        <v>4.5722164123123505</v>
      </c>
      <c r="W7" s="37">
        <f>BDbDT_calcs!W53</f>
        <v>4.5754589887373207</v>
      </c>
      <c r="X7" s="37">
        <f>BDbDT_calcs!X53</f>
        <v>4.5846939120311436</v>
      </c>
      <c r="Y7" s="37">
        <f>BDbDT_calcs!Y53</f>
        <v>4.5857933995314042</v>
      </c>
      <c r="Z7" s="37">
        <f>BDbDT_calcs!Z53</f>
        <v>4.5956447478293736</v>
      </c>
      <c r="AA7" s="37">
        <f>BDbDT_calcs!AA53</f>
        <v>4.5971847933028434</v>
      </c>
      <c r="AB7" s="37">
        <f>BDbDT_calcs!AB53</f>
        <v>4.6074148236773009</v>
      </c>
    </row>
    <row r="8" spans="1:28" x14ac:dyDescent="0.25">
      <c r="A8" s="4" t="s">
        <v>221</v>
      </c>
      <c r="B8" s="37">
        <f>BDbDT_calcs!B54</f>
        <v>7.1719903967722445</v>
      </c>
      <c r="C8" s="37">
        <f>BDbDT_calcs!C54</f>
        <v>7.2362826453446214</v>
      </c>
      <c r="D8" s="37">
        <f>BDbDT_calcs!D54</f>
        <v>7.2430840912025367</v>
      </c>
      <c r="E8" s="37">
        <f>BDbDT_calcs!E54</f>
        <v>7.2525716929201582</v>
      </c>
      <c r="F8" s="37">
        <f>BDbDT_calcs!F54</f>
        <v>7.2685119025059901</v>
      </c>
      <c r="G8" s="37">
        <f>BDbDT_calcs!G54</f>
        <v>7.2779371509015842</v>
      </c>
      <c r="H8" s="37">
        <f>BDbDT_calcs!H54</f>
        <v>7.2865297047603166</v>
      </c>
      <c r="I8" s="37">
        <f>BDbDT_calcs!I54</f>
        <v>7.3330156454199811</v>
      </c>
      <c r="J8" s="37">
        <f>BDbDT_calcs!J54</f>
        <v>7.3770793860279591</v>
      </c>
      <c r="K8" s="37">
        <f>BDbDT_calcs!K54</f>
        <v>7.4184744770732642</v>
      </c>
      <c r="L8" s="37">
        <f>BDbDT_calcs!L54</f>
        <v>7.4553539591819797</v>
      </c>
      <c r="M8" s="37">
        <f>BDbDT_calcs!M54</f>
        <v>7.4877110912489773</v>
      </c>
      <c r="N8" s="37">
        <f>BDbDT_calcs!N54</f>
        <v>7.5155285097234126</v>
      </c>
      <c r="O8" s="37">
        <f>BDbDT_calcs!O54</f>
        <v>7.5387853401993095</v>
      </c>
      <c r="P8" s="37">
        <f>BDbDT_calcs!P54</f>
        <v>7.5517904201447328</v>
      </c>
      <c r="Q8" s="37">
        <f>BDbDT_calcs!Q54</f>
        <v>7.5601084188271539</v>
      </c>
      <c r="R8" s="37">
        <f>BDbDT_calcs!R54</f>
        <v>7.5579738601735276</v>
      </c>
      <c r="S8" s="37">
        <f>BDbDT_calcs!S54</f>
        <v>7.5499050373154759</v>
      </c>
      <c r="T8" s="37">
        <f>BDbDT_calcs!T54</f>
        <v>7.5350748604544124</v>
      </c>
      <c r="U8" s="37">
        <f>BDbDT_calcs!U54</f>
        <v>7.5133510410158033</v>
      </c>
      <c r="V8" s="37">
        <f>BDbDT_calcs!V54</f>
        <v>7.4922531101823653</v>
      </c>
      <c r="W8" s="37">
        <f>BDbDT_calcs!W54</f>
        <v>7.4620409833263253</v>
      </c>
      <c r="X8" s="37">
        <f>BDbDT_calcs!X54</f>
        <v>7.4418412428188816</v>
      </c>
      <c r="Y8" s="37">
        <f>BDbDT_calcs!Y54</f>
        <v>7.4200409529604485</v>
      </c>
      <c r="Z8" s="37">
        <f>BDbDT_calcs!Z54</f>
        <v>7.3984642539601637</v>
      </c>
      <c r="AA8" s="37">
        <f>BDbDT_calcs!AA54</f>
        <v>7.3789605677145937</v>
      </c>
      <c r="AB8" s="37">
        <f>BDbDT_calcs!AB54</f>
        <v>7.3634089336780448</v>
      </c>
    </row>
    <row r="9" spans="1:28" x14ac:dyDescent="0.25">
      <c r="A9" s="4" t="s">
        <v>222</v>
      </c>
      <c r="B9" s="37">
        <f>BDbDT_calcs!B55</f>
        <v>44.776375642495587</v>
      </c>
      <c r="C9" s="37">
        <f>BDbDT_calcs!C55</f>
        <v>44.549881189266962</v>
      </c>
      <c r="D9" s="37">
        <f>BDbDT_calcs!D55</f>
        <v>43.935492142867858</v>
      </c>
      <c r="E9" s="37">
        <f>BDbDT_calcs!E55</f>
        <v>43.324034872982971</v>
      </c>
      <c r="F9" s="37">
        <f>BDbDT_calcs!F55</f>
        <v>42.698703049582811</v>
      </c>
      <c r="G9" s="37">
        <f>BDbDT_calcs!G55</f>
        <v>42.09017848288012</v>
      </c>
      <c r="H9" s="37">
        <f>BDbDT_calcs!H55</f>
        <v>41.484982992688302</v>
      </c>
      <c r="I9" s="37">
        <f>BDbDT_calcs!I55</f>
        <v>41.103194940123132</v>
      </c>
      <c r="J9" s="37">
        <f>BDbDT_calcs!J55</f>
        <v>40.718724177092774</v>
      </c>
      <c r="K9" s="37">
        <f>BDbDT_calcs!K55</f>
        <v>40.326629585017848</v>
      </c>
      <c r="L9" s="37">
        <f>BDbDT_calcs!L55</f>
        <v>39.933676148310695</v>
      </c>
      <c r="M9" s="37">
        <f>BDbDT_calcs!M55</f>
        <v>39.536385742090914</v>
      </c>
      <c r="N9" s="37">
        <f>BDbDT_calcs!N55</f>
        <v>39.141505154599727</v>
      </c>
      <c r="O9" s="37">
        <f>BDbDT_calcs!O55</f>
        <v>38.73517393192428</v>
      </c>
      <c r="P9" s="37">
        <f>BDbDT_calcs!P55</f>
        <v>38.327511151618545</v>
      </c>
      <c r="Q9" s="37">
        <f>BDbDT_calcs!Q55</f>
        <v>37.918273236997592</v>
      </c>
      <c r="R9" s="37">
        <f>BDbDT_calcs!R55</f>
        <v>37.510652362341311</v>
      </c>
      <c r="S9" s="37">
        <f>BDbDT_calcs!S55</f>
        <v>37.060641037517833</v>
      </c>
      <c r="T9" s="37">
        <f>BDbDT_calcs!T55</f>
        <v>36.619646444533828</v>
      </c>
      <c r="U9" s="37">
        <f>BDbDT_calcs!U55</f>
        <v>36.194275223313753</v>
      </c>
      <c r="V9" s="37">
        <f>BDbDT_calcs!V55</f>
        <v>35.777026864731702</v>
      </c>
      <c r="W9" s="37">
        <f>BDbDT_calcs!W55</f>
        <v>35.385017411744187</v>
      </c>
      <c r="X9" s="37">
        <f>BDbDT_calcs!X55</f>
        <v>35.000148149011636</v>
      </c>
      <c r="Y9" s="37">
        <f>BDbDT_calcs!Y55</f>
        <v>34.632749074150475</v>
      </c>
      <c r="Z9" s="37">
        <f>BDbDT_calcs!Z55</f>
        <v>34.278884695446095</v>
      </c>
      <c r="AA9" s="37">
        <f>BDbDT_calcs!AA55</f>
        <v>33.934587997683835</v>
      </c>
      <c r="AB9" s="37">
        <f>BDbDT_calcs!AB55</f>
        <v>33.603059403576147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4541.833393889292</v>
      </c>
      <c r="C2" s="37">
        <f>BDbDT_calcs!C58</f>
        <v>4646.6632383889064</v>
      </c>
      <c r="D2" s="37">
        <f>BDbDT_calcs!D58</f>
        <v>4711.5570773063482</v>
      </c>
      <c r="E2" s="37">
        <f>BDbDT_calcs!E58</f>
        <v>4776.2130210891337</v>
      </c>
      <c r="F2" s="37">
        <f>BDbDT_calcs!F58</f>
        <v>4841.0457221000652</v>
      </c>
      <c r="G2" s="37">
        <f>BDbDT_calcs!G58</f>
        <v>4906.2008361572443</v>
      </c>
      <c r="H2" s="37">
        <f>BDbDT_calcs!H58</f>
        <v>4971.3457947724373</v>
      </c>
      <c r="I2" s="37">
        <f>BDbDT_calcs!I58</f>
        <v>5062.8610376370007</v>
      </c>
      <c r="J2" s="37">
        <f>BDbDT_calcs!J58</f>
        <v>5154.0346058007126</v>
      </c>
      <c r="K2" s="37">
        <f>BDbDT_calcs!K58</f>
        <v>5244.7709668917623</v>
      </c>
      <c r="L2" s="37">
        <f>BDbDT_calcs!L58</f>
        <v>5334.6185936983957</v>
      </c>
      <c r="M2" s="37">
        <f>BDbDT_calcs!M58</f>
        <v>5423.4768581399558</v>
      </c>
      <c r="N2" s="37">
        <f>BDbDT_calcs!N58</f>
        <v>5510.7773566998712</v>
      </c>
      <c r="O2" s="37">
        <f>BDbDT_calcs!O58</f>
        <v>5596.2934871014722</v>
      </c>
      <c r="P2" s="37">
        <f>BDbDT_calcs!P58</f>
        <v>5679.2834276278663</v>
      </c>
      <c r="Q2" s="37">
        <f>BDbDT_calcs!Q58</f>
        <v>5759.6017657776047</v>
      </c>
      <c r="R2" s="37">
        <f>BDbDT_calcs!R58</f>
        <v>5836.339480181442</v>
      </c>
      <c r="S2" s="37">
        <f>BDbDT_calcs!S58</f>
        <v>5904.211998512159</v>
      </c>
      <c r="T2" s="37">
        <f>BDbDT_calcs!T58</f>
        <v>5968.0935089019695</v>
      </c>
      <c r="U2" s="37">
        <f>BDbDT_calcs!U58</f>
        <v>6028.2549570508763</v>
      </c>
      <c r="V2" s="37">
        <f>BDbDT_calcs!V58</f>
        <v>6083.1922381534796</v>
      </c>
      <c r="W2" s="37">
        <f>BDbDT_calcs!W58</f>
        <v>6133.1949175380687</v>
      </c>
      <c r="X2" s="37">
        <f>BDbDT_calcs!X58</f>
        <v>6177.8555184389943</v>
      </c>
      <c r="Y2" s="37">
        <f>BDbDT_calcs!Y58</f>
        <v>6219.6584883743299</v>
      </c>
      <c r="Z2" s="37">
        <f>BDbDT_calcs!Z58</f>
        <v>6256.2769996203997</v>
      </c>
      <c r="AA2" s="37">
        <f>BDbDT_calcs!AA58</f>
        <v>6288.022130426416</v>
      </c>
      <c r="AB2" s="37">
        <f>BDbDT_calcs!AB58</f>
        <v>6315.3938153662266</v>
      </c>
    </row>
    <row r="3" spans="1:28" x14ac:dyDescent="0.25">
      <c r="A3" s="4" t="s">
        <v>216</v>
      </c>
      <c r="B3" s="37">
        <f>BDbDT_calcs!B59</f>
        <v>4483.2626521799193</v>
      </c>
      <c r="C3" s="37">
        <f>BDbDT_calcs!C59</f>
        <v>4574.8605806946543</v>
      </c>
      <c r="D3" s="37">
        <f>BDbDT_calcs!D59</f>
        <v>4627.4566625224643</v>
      </c>
      <c r="E3" s="37">
        <f>BDbDT_calcs!E59</f>
        <v>4682.2690051829031</v>
      </c>
      <c r="F3" s="37">
        <f>BDbDT_calcs!F59</f>
        <v>4740.6040485252461</v>
      </c>
      <c r="G3" s="37">
        <f>BDbDT_calcs!G59</f>
        <v>4802.6887071807359</v>
      </c>
      <c r="H3" s="37">
        <f>BDbDT_calcs!H59</f>
        <v>4868.9419125788736</v>
      </c>
      <c r="I3" s="37">
        <f>BDbDT_calcs!I59</f>
        <v>4965.0314340906534</v>
      </c>
      <c r="J3" s="37">
        <f>BDbDT_calcs!J59</f>
        <v>5065.3081077387651</v>
      </c>
      <c r="K3" s="37">
        <f>BDbDT_calcs!K59</f>
        <v>5168.513059443002</v>
      </c>
      <c r="L3" s="37">
        <f>BDbDT_calcs!L59</f>
        <v>5274.5668089077508</v>
      </c>
      <c r="M3" s="37">
        <f>BDbDT_calcs!M59</f>
        <v>5383.1739056617598</v>
      </c>
      <c r="N3" s="37">
        <f>BDbDT_calcs!N59</f>
        <v>5493.2050946709123</v>
      </c>
      <c r="O3" s="37">
        <f>BDbDT_calcs!O59</f>
        <v>5603.5708875422342</v>
      </c>
      <c r="P3" s="37">
        <f>BDbDT_calcs!P59</f>
        <v>5714.0269587857592</v>
      </c>
      <c r="Q3" s="37">
        <f>BDbDT_calcs!Q59</f>
        <v>5822.9920119693043</v>
      </c>
      <c r="R3" s="37">
        <f>BDbDT_calcs!R59</f>
        <v>5930.002059707911</v>
      </c>
      <c r="S3" s="37">
        <f>BDbDT_calcs!S59</f>
        <v>6028.545431781431</v>
      </c>
      <c r="T3" s="37">
        <f>BDbDT_calcs!T59</f>
        <v>6123.4385052890366</v>
      </c>
      <c r="U3" s="37">
        <f>BDbDT_calcs!U59</f>
        <v>6214.0704146128783</v>
      </c>
      <c r="V3" s="37">
        <f>BDbDT_calcs!V59</f>
        <v>6298.9769876922019</v>
      </c>
      <c r="W3" s="37">
        <f>BDbDT_calcs!W59</f>
        <v>6376.8133472612644</v>
      </c>
      <c r="X3" s="37">
        <f>BDbDT_calcs!X59</f>
        <v>6447.8290929062441</v>
      </c>
      <c r="Y3" s="37">
        <f>BDbDT_calcs!Y59</f>
        <v>6514.9497761551147</v>
      </c>
      <c r="Z3" s="37">
        <f>BDbDT_calcs!Z59</f>
        <v>6575.3034315707109</v>
      </c>
      <c r="AA3" s="37">
        <f>BDbDT_calcs!AA59</f>
        <v>6627.7787557154452</v>
      </c>
      <c r="AB3" s="37">
        <f>BDbDT_calcs!AB59</f>
        <v>6672.3807878309717</v>
      </c>
    </row>
    <row r="4" spans="1:28" x14ac:dyDescent="0.25">
      <c r="A4" s="4" t="s">
        <v>217</v>
      </c>
      <c r="B4" s="37">
        <f>BDbDT_calcs!B60</f>
        <v>6515.4553481622379</v>
      </c>
      <c r="C4" s="37">
        <f>BDbDT_calcs!C60</f>
        <v>6656.1286838006736</v>
      </c>
      <c r="D4" s="37">
        <f>BDbDT_calcs!D60</f>
        <v>6739.2709523165468</v>
      </c>
      <c r="E4" s="37">
        <f>BDbDT_calcs!E60</f>
        <v>6823.1726822430019</v>
      </c>
      <c r="F4" s="37">
        <f>BDbDT_calcs!F60</f>
        <v>6909.2301583857243</v>
      </c>
      <c r="G4" s="37">
        <f>BDbDT_calcs!G60</f>
        <v>6997.4654599441101</v>
      </c>
      <c r="H4" s="37">
        <f>BDbDT_calcs!H60</f>
        <v>7088.1292624385733</v>
      </c>
      <c r="I4" s="37">
        <f>BDbDT_calcs!I60</f>
        <v>7218.5497721478778</v>
      </c>
      <c r="J4" s="37">
        <f>BDbDT_calcs!J60</f>
        <v>7351.0706448181827</v>
      </c>
      <c r="K4" s="37">
        <f>BDbDT_calcs!K60</f>
        <v>7484.4091146289902</v>
      </c>
      <c r="L4" s="37">
        <f>BDbDT_calcs!L60</f>
        <v>7618.1765774085516</v>
      </c>
      <c r="M4" s="37">
        <f>BDbDT_calcs!M60</f>
        <v>7752.0820415742965</v>
      </c>
      <c r="N4" s="37">
        <f>BDbDT_calcs!N60</f>
        <v>7884.7173043485354</v>
      </c>
      <c r="O4" s="37">
        <f>BDbDT_calcs!O60</f>
        <v>8015.2839989509685</v>
      </c>
      <c r="P4" s="37">
        <f>BDbDT_calcs!P60</f>
        <v>8142.7237801607926</v>
      </c>
      <c r="Q4" s="37">
        <f>BDbDT_calcs!Q60</f>
        <v>8265.9028994091714</v>
      </c>
      <c r="R4" s="37">
        <f>BDbDT_calcs!R60</f>
        <v>8383.7119456993296</v>
      </c>
      <c r="S4" s="37">
        <f>BDbDT_calcs!S60</f>
        <v>8487.752701142439</v>
      </c>
      <c r="T4" s="37">
        <f>BDbDT_calcs!T60</f>
        <v>8584.9688167452841</v>
      </c>
      <c r="U4" s="37">
        <f>BDbDT_calcs!U60</f>
        <v>8675.2578521570376</v>
      </c>
      <c r="V4" s="37">
        <f>BDbDT_calcs!V60</f>
        <v>8756.2059491573309</v>
      </c>
      <c r="W4" s="37">
        <f>BDbDT_calcs!W60</f>
        <v>8827.0266195992881</v>
      </c>
      <c r="X4" s="37">
        <f>BDbDT_calcs!X60</f>
        <v>8887.7713711505021</v>
      </c>
      <c r="Y4" s="37">
        <f>BDbDT_calcs!Y60</f>
        <v>8942.8574977608514</v>
      </c>
      <c r="Z4" s="37">
        <f>BDbDT_calcs!Z60</f>
        <v>8988.1789056909347</v>
      </c>
      <c r="AA4" s="37">
        <f>BDbDT_calcs!AA60</f>
        <v>9023.0411356517852</v>
      </c>
      <c r="AB4" s="37">
        <f>BDbDT_calcs!AB60</f>
        <v>9048.0719369138824</v>
      </c>
    </row>
    <row r="5" spans="1:28" x14ac:dyDescent="0.25">
      <c r="A5" s="4" t="s">
        <v>218</v>
      </c>
      <c r="B5" s="37">
        <f>BDbDT_calcs!B61</f>
        <v>1997.9946180894615</v>
      </c>
      <c r="C5" s="37">
        <f>BDbDT_calcs!C61</f>
        <v>2037.8282018036211</v>
      </c>
      <c r="D5" s="37">
        <f>BDbDT_calcs!D61</f>
        <v>2060.3753658947785</v>
      </c>
      <c r="E5" s="37">
        <f>BDbDT_calcs!E61</f>
        <v>2083.0895886570884</v>
      </c>
      <c r="F5" s="37">
        <f>BDbDT_calcs!F61</f>
        <v>2106.6538238370767</v>
      </c>
      <c r="G5" s="37">
        <f>BDbDT_calcs!G61</f>
        <v>2131.1247868282248</v>
      </c>
      <c r="H5" s="37">
        <f>BDbDT_calcs!H61</f>
        <v>2156.4513815161258</v>
      </c>
      <c r="I5" s="37">
        <f>BDbDT_calcs!I61</f>
        <v>2194.2867362191832</v>
      </c>
      <c r="J5" s="37">
        <f>BDbDT_calcs!J61</f>
        <v>2233.2186753177743</v>
      </c>
      <c r="K5" s="37">
        <f>BDbDT_calcs!K61</f>
        <v>2273.1194595813336</v>
      </c>
      <c r="L5" s="37">
        <f>BDbDT_calcs!L61</f>
        <v>2314.0060987842398</v>
      </c>
      <c r="M5" s="37">
        <f>BDbDT_calcs!M61</f>
        <v>2355.7735811716684</v>
      </c>
      <c r="N5" s="37">
        <f>BDbDT_calcs!N61</f>
        <v>2398.5471211719146</v>
      </c>
      <c r="O5" s="37">
        <f>BDbDT_calcs!O61</f>
        <v>2441.7313571614291</v>
      </c>
      <c r="P5" s="37">
        <f>BDbDT_calcs!P61</f>
        <v>2485.6023362520364</v>
      </c>
      <c r="Q5" s="37">
        <f>BDbDT_calcs!Q61</f>
        <v>2529.6623174177516</v>
      </c>
      <c r="R5" s="37">
        <f>BDbDT_calcs!R61</f>
        <v>2573.8529606472193</v>
      </c>
      <c r="S5" s="37">
        <f>BDbDT_calcs!S61</f>
        <v>2615.8395458983623</v>
      </c>
      <c r="T5" s="37">
        <f>BDbDT_calcs!T61</f>
        <v>2657.4066726833271</v>
      </c>
      <c r="U5" s="37">
        <f>BDbDT_calcs!U61</f>
        <v>2698.5865039909881</v>
      </c>
      <c r="V5" s="37">
        <f>BDbDT_calcs!V61</f>
        <v>2739.0540052526726</v>
      </c>
      <c r="W5" s="37">
        <f>BDbDT_calcs!W61</f>
        <v>2778.2851882967766</v>
      </c>
      <c r="X5" s="37">
        <f>BDbDT_calcs!X61</f>
        <v>2816.0716730605973</v>
      </c>
      <c r="Y5" s="37">
        <f>BDbDT_calcs!Y61</f>
        <v>2853.1035967205016</v>
      </c>
      <c r="Z5" s="37">
        <f>BDbDT_calcs!Z61</f>
        <v>2888.5750508658757</v>
      </c>
      <c r="AA5" s="37">
        <f>BDbDT_calcs!AA61</f>
        <v>2922.4349525810253</v>
      </c>
      <c r="AB5" s="37">
        <f>BDbDT_calcs!AB61</f>
        <v>2954.352066526305</v>
      </c>
    </row>
    <row r="6" spans="1:28" x14ac:dyDescent="0.25">
      <c r="A6" s="4" t="s">
        <v>219</v>
      </c>
      <c r="B6" s="37">
        <f>BDbDT_calcs!B62</f>
        <v>280.41773363525425</v>
      </c>
      <c r="C6" s="37">
        <f>BDbDT_calcs!C62</f>
        <v>288.39173264183796</v>
      </c>
      <c r="D6" s="37">
        <f>BDbDT_calcs!D62</f>
        <v>294.13164269361368</v>
      </c>
      <c r="E6" s="37">
        <f>BDbDT_calcs!E62</f>
        <v>300.29451853035437</v>
      </c>
      <c r="F6" s="37">
        <f>BDbDT_calcs!F62</f>
        <v>306.96605982315327</v>
      </c>
      <c r="G6" s="37">
        <f>BDbDT_calcs!G62</f>
        <v>314.1386507293463</v>
      </c>
      <c r="H6" s="37">
        <f>BDbDT_calcs!H62</f>
        <v>321.83209353021948</v>
      </c>
      <c r="I6" s="37">
        <f>BDbDT_calcs!I62</f>
        <v>331.79661899293728</v>
      </c>
      <c r="J6" s="37">
        <f>BDbDT_calcs!J62</f>
        <v>342.20181363946529</v>
      </c>
      <c r="K6" s="37">
        <f>BDbDT_calcs!K62</f>
        <v>352.98416303299621</v>
      </c>
      <c r="L6" s="37">
        <f>BDbDT_calcs!L62</f>
        <v>364.23858811409428</v>
      </c>
      <c r="M6" s="37">
        <f>BDbDT_calcs!M62</f>
        <v>375.90002541657742</v>
      </c>
      <c r="N6" s="37">
        <f>BDbDT_calcs!N62</f>
        <v>387.92577805682464</v>
      </c>
      <c r="O6" s="37">
        <f>BDbDT_calcs!O62</f>
        <v>400.25211596847731</v>
      </c>
      <c r="P6" s="37">
        <f>BDbDT_calcs!P62</f>
        <v>412.84679903470879</v>
      </c>
      <c r="Q6" s="37">
        <f>BDbDT_calcs!Q62</f>
        <v>425.63450366087244</v>
      </c>
      <c r="R6" s="37">
        <f>BDbDT_calcs!R62</f>
        <v>438.57818244320805</v>
      </c>
      <c r="S6" s="37">
        <f>BDbDT_calcs!S62</f>
        <v>451.19992683175036</v>
      </c>
      <c r="T6" s="37">
        <f>BDbDT_calcs!T62</f>
        <v>463.89267697108136</v>
      </c>
      <c r="U6" s="37">
        <f>BDbDT_calcs!U62</f>
        <v>476.55583789231412</v>
      </c>
      <c r="V6" s="37">
        <f>BDbDT_calcs!V62</f>
        <v>489.20387460579821</v>
      </c>
      <c r="W6" s="37">
        <f>BDbDT_calcs!W62</f>
        <v>501.80249042805355</v>
      </c>
      <c r="X6" s="37">
        <f>BDbDT_calcs!X62</f>
        <v>514.39228376289179</v>
      </c>
      <c r="Y6" s="37">
        <f>BDbDT_calcs!Y62</f>
        <v>526.93747570445294</v>
      </c>
      <c r="Z6" s="37">
        <f>BDbDT_calcs!Z62</f>
        <v>539.45178962666444</v>
      </c>
      <c r="AA6" s="37">
        <f>BDbDT_calcs!AA62</f>
        <v>551.92673418253719</v>
      </c>
      <c r="AB6" s="37">
        <f>BDbDT_calcs!AB62</f>
        <v>564.31939807278218</v>
      </c>
    </row>
    <row r="7" spans="1:28" x14ac:dyDescent="0.25">
      <c r="A7" s="4" t="s">
        <v>220</v>
      </c>
      <c r="B7" s="37">
        <f>BDbDT_calcs!B63</f>
        <v>182.30803774077216</v>
      </c>
      <c r="C7" s="37">
        <f>BDbDT_calcs!C63</f>
        <v>187.22966129595767</v>
      </c>
      <c r="D7" s="37">
        <f>BDbDT_calcs!D63</f>
        <v>190.7286265358961</v>
      </c>
      <c r="E7" s="37">
        <f>BDbDT_calcs!E63</f>
        <v>194.57561222312447</v>
      </c>
      <c r="F7" s="37">
        <f>BDbDT_calcs!F63</f>
        <v>198.44826461663644</v>
      </c>
      <c r="G7" s="37">
        <f>BDbDT_calcs!G63</f>
        <v>202.62967500216971</v>
      </c>
      <c r="H7" s="37">
        <f>BDbDT_calcs!H63</f>
        <v>206.93521901359216</v>
      </c>
      <c r="I7" s="37">
        <f>BDbDT_calcs!I63</f>
        <v>212.4443124102209</v>
      </c>
      <c r="J7" s="37">
        <f>BDbDT_calcs!J63</f>
        <v>218.09436812838189</v>
      </c>
      <c r="K7" s="37">
        <f>BDbDT_calcs!K63</f>
        <v>224.12261868702123</v>
      </c>
      <c r="L7" s="37">
        <f>BDbDT_calcs!L63</f>
        <v>230.31734457044954</v>
      </c>
      <c r="M7" s="37">
        <f>BDbDT_calcs!M63</f>
        <v>236.75072428860526</v>
      </c>
      <c r="N7" s="37">
        <f>BDbDT_calcs!N63</f>
        <v>243.32079325168817</v>
      </c>
      <c r="O7" s="37">
        <f>BDbDT_calcs!O63</f>
        <v>250.04789973623403</v>
      </c>
      <c r="P7" s="37">
        <f>BDbDT_calcs!P63</f>
        <v>256.99920495036196</v>
      </c>
      <c r="Q7" s="37">
        <f>BDbDT_calcs!Q63</f>
        <v>264.14297746851133</v>
      </c>
      <c r="R7" s="37">
        <f>BDbDT_calcs!R63</f>
        <v>271.43019688592256</v>
      </c>
      <c r="S7" s="37">
        <f>BDbDT_calcs!S63</f>
        <v>278.53054913371807</v>
      </c>
      <c r="T7" s="37">
        <f>BDbDT_calcs!T63</f>
        <v>285.75999387657424</v>
      </c>
      <c r="U7" s="37">
        <f>BDbDT_calcs!U63</f>
        <v>293.04417778378604</v>
      </c>
      <c r="V7" s="37">
        <f>BDbDT_calcs!V63</f>
        <v>300.29824313905402</v>
      </c>
      <c r="W7" s="37">
        <f>BDbDT_calcs!W63</f>
        <v>307.70523794957347</v>
      </c>
      <c r="X7" s="37">
        <f>BDbDT_calcs!X63</f>
        <v>315.11734742600771</v>
      </c>
      <c r="Y7" s="37">
        <f>BDbDT_calcs!Y63</f>
        <v>322.62372046228279</v>
      </c>
      <c r="Z7" s="37">
        <f>BDbDT_calcs!Z63</f>
        <v>330.10013796777372</v>
      </c>
      <c r="AA7" s="37">
        <f>BDbDT_calcs!AA63</f>
        <v>337.59400894759983</v>
      </c>
      <c r="AB7" s="37">
        <f>BDbDT_calcs!AB63</f>
        <v>345.1559640863963</v>
      </c>
    </row>
    <row r="8" spans="1:28" x14ac:dyDescent="0.25">
      <c r="A8" s="4" t="s">
        <v>221</v>
      </c>
      <c r="B8" s="37">
        <f>BDbDT_calcs!B64</f>
        <v>466.97294411058857</v>
      </c>
      <c r="C8" s="37">
        <f>BDbDT_calcs!C64</f>
        <v>485.75024719303354</v>
      </c>
      <c r="D8" s="37">
        <f>BDbDT_calcs!D64</f>
        <v>500.74851581442221</v>
      </c>
      <c r="E8" s="37">
        <f>BDbDT_calcs!E64</f>
        <v>516.08733967078035</v>
      </c>
      <c r="F8" s="37">
        <f>BDbDT_calcs!F64</f>
        <v>531.77257189889258</v>
      </c>
      <c r="G8" s="37">
        <f>BDbDT_calcs!G64</f>
        <v>547.86919664885579</v>
      </c>
      <c r="H8" s="37">
        <f>BDbDT_calcs!H64</f>
        <v>564.55574784888199</v>
      </c>
      <c r="I8" s="37">
        <f>BDbDT_calcs!I64</f>
        <v>584.9184458404219</v>
      </c>
      <c r="J8" s="37">
        <f>BDbDT_calcs!J64</f>
        <v>605.91005006929868</v>
      </c>
      <c r="K8" s="37">
        <f>BDbDT_calcs!K64</f>
        <v>627.6776271300397</v>
      </c>
      <c r="L8" s="37">
        <f>BDbDT_calcs!L64</f>
        <v>650.33712055035255</v>
      </c>
      <c r="M8" s="37">
        <f>BDbDT_calcs!M64</f>
        <v>673.73893832703538</v>
      </c>
      <c r="N8" s="37">
        <f>BDbDT_calcs!N64</f>
        <v>698.06724605834108</v>
      </c>
      <c r="O8" s="37">
        <f>BDbDT_calcs!O64</f>
        <v>723.21592019793854</v>
      </c>
      <c r="P8" s="37">
        <f>BDbDT_calcs!P64</f>
        <v>749.16212235637545</v>
      </c>
      <c r="Q8" s="37">
        <f>BDbDT_calcs!Q64</f>
        <v>775.94788455478761</v>
      </c>
      <c r="R8" s="37">
        <f>BDbDT_calcs!R64</f>
        <v>803.42534136278698</v>
      </c>
      <c r="S8" s="37">
        <f>BDbDT_calcs!S64</f>
        <v>830.85505631528349</v>
      </c>
      <c r="T8" s="37">
        <f>BDbDT_calcs!T64</f>
        <v>858.92980779462118</v>
      </c>
      <c r="U8" s="37">
        <f>BDbDT_calcs!U64</f>
        <v>887.59788192648625</v>
      </c>
      <c r="V8" s="37">
        <f>BDbDT_calcs!V64</f>
        <v>916.74563735236541</v>
      </c>
      <c r="W8" s="37">
        <f>BDbDT_calcs!W64</f>
        <v>946.24960653242317</v>
      </c>
      <c r="X8" s="37">
        <f>BDbDT_calcs!X64</f>
        <v>976.22653307031294</v>
      </c>
      <c r="Y8" s="37">
        <f>BDbDT_calcs!Y64</f>
        <v>1006.482204255291</v>
      </c>
      <c r="Z8" s="37">
        <f>BDbDT_calcs!Z64</f>
        <v>1037.0031540559955</v>
      </c>
      <c r="AA8" s="37">
        <f>BDbDT_calcs!AA64</f>
        <v>1067.5553670881272</v>
      </c>
      <c r="AB8" s="37">
        <f>BDbDT_calcs!AB64</f>
        <v>1098.1060756014156</v>
      </c>
    </row>
    <row r="9" spans="1:28" x14ac:dyDescent="0.25">
      <c r="A9" s="4" t="s">
        <v>222</v>
      </c>
      <c r="B9" s="37">
        <f>BDbDT_calcs!B65</f>
        <v>9057.2189557420825</v>
      </c>
      <c r="C9" s="37">
        <f>BDbDT_calcs!C65</f>
        <v>9238.8697103286104</v>
      </c>
      <c r="D9" s="37">
        <f>BDbDT_calcs!D65</f>
        <v>9340.7301993277324</v>
      </c>
      <c r="E9" s="37">
        <f>BDbDT_calcs!E65</f>
        <v>9444.0725159052326</v>
      </c>
      <c r="F9" s="37">
        <f>BDbDT_calcs!F65</f>
        <v>9550.752071288387</v>
      </c>
      <c r="G9" s="37">
        <f>BDbDT_calcs!G65</f>
        <v>9661.0566649467237</v>
      </c>
      <c r="H9" s="37">
        <f>BDbDT_calcs!H65</f>
        <v>9774.7333671493561</v>
      </c>
      <c r="I9" s="37">
        <f>BDbDT_calcs!I65</f>
        <v>9943.3046399224677</v>
      </c>
      <c r="J9" s="37">
        <f>BDbDT_calcs!J65</f>
        <v>10114.823390287609</v>
      </c>
      <c r="K9" s="37">
        <f>BDbDT_calcs!K65</f>
        <v>10287.563790207911</v>
      </c>
      <c r="L9" s="37">
        <f>BDbDT_calcs!L65</f>
        <v>10460.719920121146</v>
      </c>
      <c r="M9" s="37">
        <f>BDbDT_calcs!M65</f>
        <v>10634.136419015824</v>
      </c>
      <c r="N9" s="37">
        <f>BDbDT_calcs!N65</f>
        <v>10805.626135274289</v>
      </c>
      <c r="O9" s="37">
        <f>BDbDT_calcs!O65</f>
        <v>10973.961599982778</v>
      </c>
      <c r="P9" s="37">
        <f>BDbDT_calcs!P65</f>
        <v>11138.088180686136</v>
      </c>
      <c r="Q9" s="37">
        <f>BDbDT_calcs!Q65</f>
        <v>11296.071175386325</v>
      </c>
      <c r="R9" s="37">
        <f>BDbDT_calcs!R65</f>
        <v>11446.661808214734</v>
      </c>
      <c r="S9" s="37">
        <f>BDbDT_calcs!S65</f>
        <v>11578.29384980394</v>
      </c>
      <c r="T9" s="37">
        <f>BDbDT_calcs!T65</f>
        <v>11700.341204569791</v>
      </c>
      <c r="U9" s="37">
        <f>BDbDT_calcs!U65</f>
        <v>11812.549233926356</v>
      </c>
      <c r="V9" s="37">
        <f>BDbDT_calcs!V65</f>
        <v>11911.865275871703</v>
      </c>
      <c r="W9" s="37">
        <f>BDbDT_calcs!W65</f>
        <v>11997.400941457045</v>
      </c>
      <c r="X9" s="37">
        <f>BDbDT_calcs!X65</f>
        <v>12068.750942926357</v>
      </c>
      <c r="Y9" s="37">
        <f>BDbDT_calcs!Y65</f>
        <v>12132.201316200699</v>
      </c>
      <c r="Z9" s="37">
        <f>BDbDT_calcs!Z65</f>
        <v>12182.081725517693</v>
      </c>
      <c r="AA9" s="37">
        <f>BDbDT_calcs!AA65</f>
        <v>12217.980974055363</v>
      </c>
      <c r="AB9" s="37">
        <f>BDbDT_calcs!AB65</f>
        <v>12240.52714942409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2026-08-17T20:28:36Z</dcterms:modified>
</cp:coreProperties>
</file>